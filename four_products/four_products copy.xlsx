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−0.00"/>
  </numFmts>
  <fonts count="9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b val="1"/>
      <color rgb="00FFFFFF"/>
      <sz val="11"/>
    </font>
    <font>
      <name val="Aptos"/>
      <color rgb="00262A33"/>
      <sz val="11"/>
    </font>
    <font>
      <name val="Aptos"/>
      <i val="1"/>
      <color rgb="00595959"/>
      <sz val="10"/>
    </font>
    <font>
      <name val="Aptos"/>
      <color rgb="008C8C8C"/>
      <sz val="10"/>
    </font>
    <font>
      <name val="Aptos"/>
      <b val="1"/>
      <color rgb="00262A33"/>
      <sz val="11"/>
    </font>
    <font>
      <name val="Aptos"/>
      <color rgb="008C8C8C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right"/>
    </xf>
    <xf numFmtId="2" fontId="6" fillId="0" borderId="0" pivotButton="0" quotePrefix="0" xfId="0"/>
    <xf numFmtId="164" fontId="6" fillId="0" borderId="0" pivotButton="0" quotePrefix="0" xfId="0"/>
    <xf numFmtId="1" fontId="4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Product A is growing, one bad month aside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June collapsed to 2,8, then recovered  ·  mean = 8,0 · sd = 3,0 · n = 12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Mean</v>
          </tx>
          <spPr>
            <a:ln xmlns:a="http://schemas.openxmlformats.org/drawingml/2006/main" w="9525">
              <a:solidFill>
                <a:srgbClr val="BDBDB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products'!$H$9:$H$20</f>
            </numRef>
          </val>
          <smooth val="0"/>
        </ser>
        <ser>
          <idx val="1"/>
          <order val="1"/>
          <tx>
            <v>Product A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products'!$C$9:$C$20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 anchor="t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Sales (MM)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5"/>
              <y val="0.175"/>
            </manualLayout>
          </layout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4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Product B's growth has already flattened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An S-curve: fast to September, flat since  ·  mean = 8,0 · sd = 3,0 · n = 12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Mean</v>
          </tx>
          <spPr>
            <a:ln xmlns:a="http://schemas.openxmlformats.org/drawingml/2006/main" w="9525">
              <a:solidFill>
                <a:srgbClr val="BDBDB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products'!$I$9:$I$20</f>
            </numRef>
          </val>
          <smooth val="0"/>
        </ser>
        <ser>
          <idx val="1"/>
          <order val="1"/>
          <tx>
            <v>Product B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products'!$D$9:$D$20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 anchor="t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Sales (MM)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5"/>
              <y val="0.175"/>
            </manualLayout>
          </layout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4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Product C did nothing until November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Ten flat months, then a step change  ·  mean = 8,0 · sd = 3,0 · n = 12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Mean</v>
          </tx>
          <spPr>
            <a:ln xmlns:a="http://schemas.openxmlformats.org/drawingml/2006/main" w="9525">
              <a:solidFill>
                <a:srgbClr val="BDBDB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products'!$J$9:$J$20</f>
            </numRef>
          </val>
          <smooth val="0"/>
        </ser>
        <ser>
          <idx val="1"/>
          <order val="1"/>
          <tx>
            <v>Product C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products'!$E$9:$E$20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 anchor="t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Sales (MM)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5"/>
              <y val="0.175"/>
            </manualLayout>
          </layout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4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000" b="1">
                <a:solidFill>
                  <a:srgbClr val="262A33"/>
                </a:solidFill>
                <a:latin typeface="Aptos"/>
              </a:defRPr>
            </a:pPr>
            <a:r>
              <a:rPr sz="1000" b="1">
                <a:solidFill>
                  <a:srgbClr val="262A33"/>
                </a:solidFill>
                <a:latin typeface="Aptos"/>
              </a:rPr>
              <a:t>Product D has no trend at all</a:t>
            </a:r>
          </a:p>
          <a:p xmlns:a="http://schemas.openxmlformats.org/drawingml/2006/main">
            <a:pPr algn="l">
              <a:defRPr sz="800" b="0">
                <a:solidFill>
                  <a:srgbClr val="595959"/>
                </a:solidFill>
                <a:latin typeface="Aptos"/>
              </a:defRPr>
            </a:pPr>
            <a:r>
              <a:rPr sz="800" b="0">
                <a:solidFill>
                  <a:srgbClr val="595959"/>
                </a:solidFill>
                <a:latin typeface="Aptos"/>
              </a:rPr>
              <a:t>High and low months simply alternate  ·  mean = 8,0 · sd = 3,0 · n = 12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Mean</v>
          </tx>
          <spPr>
            <a:ln xmlns:a="http://schemas.openxmlformats.org/drawingml/2006/main" w="9525">
              <a:solidFill>
                <a:srgbClr val="BDBDB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products'!$K$9:$K$20</f>
            </numRef>
          </val>
          <smooth val="0"/>
        </ser>
        <ser>
          <idx val="1"/>
          <order val="1"/>
          <tx>
            <v>Product D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products'!$F$9:$F$20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 anchor="t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Sales (MM)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5"/>
              <y val="0.175"/>
            </manualLayout>
          </layout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4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18</col>
      <colOff>0</colOff>
      <row>7</row>
      <rowOff>0</rowOff>
    </from>
    <ext cx="4572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26</col>
      <colOff>0</colOff>
      <row>7</row>
      <rowOff>0</rowOff>
    </from>
    <ext cx="4572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23</row>
      <rowOff>0</rowOff>
    </from>
    <ext cx="4572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26</col>
      <colOff>0</colOff>
      <row>23</row>
      <rowOff>0</rowOff>
    </from>
    <ext cx="4572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8" max="8"/>
    <col width="10" customWidth="1" min="9" max="9"/>
    <col width="10" customWidth="1" min="10" max="10"/>
    <col width="10" customWidth="1" min="11" max="11"/>
    <col width="10" customWidth="1" min="13" max="13"/>
    <col width="10" customWidth="1" min="14" max="14"/>
    <col width="10" customWidth="1" min="15" max="15"/>
    <col width="10" customWidth="1" min="16" max="16"/>
  </cols>
  <sheetData>
    <row r="2" ht="24" customHeight="1">
      <c r="B2" s="1" t="inlineStr">
        <is>
          <t>Four products with the same average and the same spread</t>
        </is>
      </c>
    </row>
    <row r="3">
      <c r="B3" s="2" t="inlineStr">
        <is>
          <t>Monthly sales, MM · 12 months · every product has mean 8,00 and standard deviation 3,00</t>
        </is>
      </c>
    </row>
    <row r="7">
      <c r="H7" s="3" t="inlineStr">
        <is>
          <t>Helper — each product's own mean, filled down. Feeds the dashed reference line in that product's chart.</t>
        </is>
      </c>
      <c r="M7" s="3" t="inlineStr">
        <is>
          <t>Helper — month-on-month change. Feeds the biggest rise and biggest fall in the shape block below.</t>
        </is>
      </c>
    </row>
    <row r="8" ht="20" customHeight="1">
      <c r="B8" s="4" t="inlineStr">
        <is>
          <t>Month</t>
        </is>
      </c>
      <c r="C8" s="4" t="inlineStr">
        <is>
          <t>Product A</t>
        </is>
      </c>
      <c r="D8" s="4" t="inlineStr">
        <is>
          <t>Product B</t>
        </is>
      </c>
      <c r="E8" s="4" t="inlineStr">
        <is>
          <t>Product C</t>
        </is>
      </c>
      <c r="F8" s="4" t="inlineStr">
        <is>
          <t>Product D</t>
        </is>
      </c>
      <c r="H8" s="3" t="inlineStr">
        <is>
          <t>Mean A</t>
        </is>
      </c>
      <c r="I8" s="3" t="inlineStr">
        <is>
          <t>Mean B</t>
        </is>
      </c>
      <c r="J8" s="3" t="inlineStr">
        <is>
          <t>Mean C</t>
        </is>
      </c>
      <c r="K8" s="3" t="inlineStr">
        <is>
          <t>Mean D</t>
        </is>
      </c>
      <c r="M8" s="3" t="inlineStr">
        <is>
          <t>Δ A</t>
        </is>
      </c>
      <c r="N8" s="3" t="inlineStr">
        <is>
          <t>Δ B</t>
        </is>
      </c>
      <c r="O8" s="3" t="inlineStr">
        <is>
          <t>Δ C</t>
        </is>
      </c>
      <c r="P8" s="3" t="inlineStr">
        <is>
          <t>Δ D</t>
        </is>
      </c>
    </row>
    <row r="9">
      <c r="B9" s="5" t="inlineStr">
        <is>
          <t>Jan</t>
        </is>
      </c>
      <c r="C9" s="6" t="n">
        <v>4.81</v>
      </c>
      <c r="D9" s="6" t="n">
        <v>4.09</v>
      </c>
      <c r="E9" s="6" t="n">
        <v>6.18</v>
      </c>
      <c r="F9" s="6" t="n">
        <v>8.960000000000001</v>
      </c>
      <c r="H9" s="7">
        <f>AVERAGE($C$9:$C$20)</f>
        <v/>
      </c>
      <c r="I9" s="7">
        <f>AVERAGE($D$9:$D$20)</f>
        <v/>
      </c>
      <c r="J9" s="7">
        <f>AVERAGE($E$9:$E$20)</f>
        <v/>
      </c>
      <c r="K9" s="7">
        <f>AVERAGE($F$9:$F$20)</f>
        <v/>
      </c>
    </row>
    <row r="10">
      <c r="B10" s="5" t="inlineStr">
        <is>
          <t>Feb</t>
        </is>
      </c>
      <c r="C10" s="6" t="n">
        <v>5.95</v>
      </c>
      <c r="D10" s="6" t="n">
        <v>4.28</v>
      </c>
      <c r="E10" s="6" t="n">
        <v>6.27</v>
      </c>
      <c r="F10" s="6" t="n">
        <v>8.18</v>
      </c>
      <c r="H10" s="7">
        <f>AVERAGE($C$9:$C$20)</f>
        <v/>
      </c>
      <c r="I10" s="7">
        <f>AVERAGE($D$9:$D$20)</f>
        <v/>
      </c>
      <c r="J10" s="7">
        <f>AVERAGE($E$9:$E$20)</f>
        <v/>
      </c>
      <c r="K10" s="7">
        <f>AVERAGE($F$9:$F$20)</f>
        <v/>
      </c>
      <c r="M10" s="8">
        <f>C10-C9</f>
        <v/>
      </c>
      <c r="N10" s="8">
        <f>D10-D9</f>
        <v/>
      </c>
      <c r="O10" s="8">
        <f>E10-E9</f>
        <v/>
      </c>
      <c r="P10" s="8">
        <f>F10-F9</f>
        <v/>
      </c>
    </row>
    <row r="11">
      <c r="B11" s="5" t="inlineStr">
        <is>
          <t>Mar</t>
        </is>
      </c>
      <c r="C11" s="6" t="n">
        <v>6.18</v>
      </c>
      <c r="D11" s="6" t="n">
        <v>4.71</v>
      </c>
      <c r="E11" s="6" t="n">
        <v>6.38</v>
      </c>
      <c r="F11" s="6" t="n">
        <v>13.4</v>
      </c>
      <c r="H11" s="7">
        <f>AVERAGE($C$9:$C$20)</f>
        <v/>
      </c>
      <c r="I11" s="7">
        <f>AVERAGE($D$9:$D$20)</f>
        <v/>
      </c>
      <c r="J11" s="7">
        <f>AVERAGE($E$9:$E$20)</f>
        <v/>
      </c>
      <c r="K11" s="7">
        <f>AVERAGE($F$9:$F$20)</f>
        <v/>
      </c>
      <c r="M11" s="8">
        <f>C11-C10</f>
        <v/>
      </c>
      <c r="N11" s="8">
        <f>D11-D10</f>
        <v/>
      </c>
      <c r="O11" s="8">
        <f>E11-E10</f>
        <v/>
      </c>
      <c r="P11" s="8">
        <f>F11-F10</f>
        <v/>
      </c>
    </row>
    <row r="12">
      <c r="B12" s="5" t="inlineStr">
        <is>
          <t>Apr</t>
        </is>
      </c>
      <c r="C12" s="6" t="n">
        <v>6.27</v>
      </c>
      <c r="D12" s="6" t="n">
        <v>5.38</v>
      </c>
      <c r="E12" s="6" t="n">
        <v>6.51</v>
      </c>
      <c r="F12" s="6" t="n">
        <v>7.91</v>
      </c>
      <c r="H12" s="7">
        <f>AVERAGE($C$9:$C$20)</f>
        <v/>
      </c>
      <c r="I12" s="7">
        <f>AVERAGE($D$9:$D$20)</f>
        <v/>
      </c>
      <c r="J12" s="7">
        <f>AVERAGE($E$9:$E$20)</f>
        <v/>
      </c>
      <c r="K12" s="7">
        <f>AVERAGE($F$9:$F$20)</f>
        <v/>
      </c>
      <c r="M12" s="8">
        <f>C12-C11</f>
        <v/>
      </c>
      <c r="N12" s="8">
        <f>D12-D11</f>
        <v/>
      </c>
      <c r="O12" s="8">
        <f>E12-E11</f>
        <v/>
      </c>
      <c r="P12" s="8">
        <f>F12-F11</f>
        <v/>
      </c>
    </row>
    <row r="13">
      <c r="B13" s="5" t="inlineStr">
        <is>
          <t>May</t>
        </is>
      </c>
      <c r="C13" s="6" t="n">
        <v>6.82</v>
      </c>
      <c r="D13" s="6" t="n">
        <v>6.23</v>
      </c>
      <c r="E13" s="6" t="n">
        <v>6.71</v>
      </c>
      <c r="F13" s="6" t="n">
        <v>6.74</v>
      </c>
      <c r="H13" s="7">
        <f>AVERAGE($C$9:$C$20)</f>
        <v/>
      </c>
      <c r="I13" s="7">
        <f>AVERAGE($D$9:$D$20)</f>
        <v/>
      </c>
      <c r="J13" s="7">
        <f>AVERAGE($E$9:$E$20)</f>
        <v/>
      </c>
      <c r="K13" s="7">
        <f>AVERAGE($F$9:$F$20)</f>
        <v/>
      </c>
      <c r="M13" s="8">
        <f>C13-C12</f>
        <v/>
      </c>
      <c r="N13" s="8">
        <f>D13-D12</f>
        <v/>
      </c>
      <c r="O13" s="8">
        <f>E13-E12</f>
        <v/>
      </c>
      <c r="P13" s="8">
        <f>F13-F12</f>
        <v/>
      </c>
    </row>
    <row r="14">
      <c r="B14" s="5" t="inlineStr">
        <is>
          <t>Jun</t>
        </is>
      </c>
      <c r="C14" s="6" t="n">
        <v>2.78</v>
      </c>
      <c r="D14" s="6" t="n">
        <v>7.42</v>
      </c>
      <c r="E14" s="6" t="n">
        <v>6.81</v>
      </c>
      <c r="F14" s="6" t="n">
        <v>12.35</v>
      </c>
      <c r="H14" s="7">
        <f>AVERAGE($C$9:$C$20)</f>
        <v/>
      </c>
      <c r="I14" s="7">
        <f>AVERAGE($D$9:$D$20)</f>
        <v/>
      </c>
      <c r="J14" s="7">
        <f>AVERAGE($E$9:$E$20)</f>
        <v/>
      </c>
      <c r="K14" s="7">
        <f>AVERAGE($F$9:$F$20)</f>
        <v/>
      </c>
      <c r="M14" s="8">
        <f>C14-C13</f>
        <v/>
      </c>
      <c r="N14" s="8">
        <f>D14-D13</f>
        <v/>
      </c>
      <c r="O14" s="8">
        <f>E14-E13</f>
        <v/>
      </c>
      <c r="P14" s="8">
        <f>F14-F13</f>
        <v/>
      </c>
    </row>
    <row r="15">
      <c r="B15" s="5" t="inlineStr">
        <is>
          <t>Jul</t>
        </is>
      </c>
      <c r="C15" s="6" t="n">
        <v>8.75</v>
      </c>
      <c r="D15" s="6" t="n">
        <v>8.710000000000001</v>
      </c>
      <c r="E15" s="6" t="n">
        <v>6.91</v>
      </c>
      <c r="F15" s="6" t="n">
        <v>6.48</v>
      </c>
      <c r="H15" s="7">
        <f>AVERAGE($C$9:$C$20)</f>
        <v/>
      </c>
      <c r="I15" s="7">
        <f>AVERAGE($D$9:$D$20)</f>
        <v/>
      </c>
      <c r="J15" s="7">
        <f>AVERAGE($E$9:$E$20)</f>
        <v/>
      </c>
      <c r="K15" s="7">
        <f>AVERAGE($F$9:$F$20)</f>
        <v/>
      </c>
      <c r="M15" s="8">
        <f>C15-C14</f>
        <v/>
      </c>
      <c r="N15" s="8">
        <f>D15-D14</f>
        <v/>
      </c>
      <c r="O15" s="8">
        <f>E15-E14</f>
        <v/>
      </c>
      <c r="P15" s="8">
        <f>F15-F14</f>
        <v/>
      </c>
    </row>
    <row r="16">
      <c r="B16" s="5" t="inlineStr">
        <is>
          <t>Aug</t>
        </is>
      </c>
      <c r="C16" s="6" t="n">
        <v>9.09</v>
      </c>
      <c r="D16" s="6" t="n">
        <v>9.890000000000001</v>
      </c>
      <c r="E16" s="6" t="n">
        <v>7.05</v>
      </c>
      <c r="F16" s="6" t="n">
        <v>5.95</v>
      </c>
      <c r="H16" s="7">
        <f>AVERAGE($C$9:$C$20)</f>
        <v/>
      </c>
      <c r="I16" s="7">
        <f>AVERAGE($D$9:$D$20)</f>
        <v/>
      </c>
      <c r="J16" s="7">
        <f>AVERAGE($E$9:$E$20)</f>
        <v/>
      </c>
      <c r="K16" s="7">
        <f>AVERAGE($F$9:$F$20)</f>
        <v/>
      </c>
      <c r="M16" s="8">
        <f>C16-C15</f>
        <v/>
      </c>
      <c r="N16" s="8">
        <f>D16-D15</f>
        <v/>
      </c>
      <c r="O16" s="8">
        <f>E16-E15</f>
        <v/>
      </c>
      <c r="P16" s="8">
        <f>F16-F15</f>
        <v/>
      </c>
    </row>
    <row r="17">
      <c r="B17" s="5" t="inlineStr">
        <is>
          <t>Sep</t>
        </is>
      </c>
      <c r="C17" s="6" t="n">
        <v>10.66</v>
      </c>
      <c r="D17" s="6" t="n">
        <v>10.77</v>
      </c>
      <c r="E17" s="6" t="n">
        <v>7.12</v>
      </c>
      <c r="F17" s="6" t="n">
        <v>10.14</v>
      </c>
      <c r="H17" s="7">
        <f>AVERAGE($C$9:$C$20)</f>
        <v/>
      </c>
      <c r="I17" s="7">
        <f>AVERAGE($D$9:$D$20)</f>
        <v/>
      </c>
      <c r="J17" s="7">
        <f>AVERAGE($E$9:$E$20)</f>
        <v/>
      </c>
      <c r="K17" s="7">
        <f>AVERAGE($F$9:$F$20)</f>
        <v/>
      </c>
      <c r="M17" s="8">
        <f>C17-C16</f>
        <v/>
      </c>
      <c r="N17" s="8">
        <f>D17-D16</f>
        <v/>
      </c>
      <c r="O17" s="8">
        <f>E17-E16</f>
        <v/>
      </c>
      <c r="P17" s="8">
        <f>F17-F16</f>
        <v/>
      </c>
    </row>
    <row r="18">
      <c r="B18" s="5" t="inlineStr">
        <is>
          <t>Oct</t>
        </is>
      </c>
      <c r="C18" s="6" t="n">
        <v>10.21</v>
      </c>
      <c r="D18" s="6" t="n">
        <v>11.29</v>
      </c>
      <c r="E18" s="6" t="n">
        <v>7.32</v>
      </c>
      <c r="F18" s="6" t="n">
        <v>4.24</v>
      </c>
      <c r="H18" s="7">
        <f>AVERAGE($C$9:$C$20)</f>
        <v/>
      </c>
      <c r="I18" s="7">
        <f>AVERAGE($D$9:$D$20)</f>
        <v/>
      </c>
      <c r="J18" s="7">
        <f>AVERAGE($E$9:$E$20)</f>
        <v/>
      </c>
      <c r="K18" s="7">
        <f>AVERAGE($F$9:$F$20)</f>
        <v/>
      </c>
      <c r="M18" s="8">
        <f>C18-C17</f>
        <v/>
      </c>
      <c r="N18" s="8">
        <f>D18-D17</f>
        <v/>
      </c>
      <c r="O18" s="8">
        <f>E18-E17</f>
        <v/>
      </c>
      <c r="P18" s="8">
        <f>F18-F17</f>
        <v/>
      </c>
    </row>
    <row r="19">
      <c r="B19" s="5" t="inlineStr">
        <is>
          <t>Nov</t>
        </is>
      </c>
      <c r="C19" s="6" t="n">
        <v>12.17</v>
      </c>
      <c r="D19" s="6" t="n">
        <v>11.56</v>
      </c>
      <c r="E19" s="6" t="n">
        <v>13.99</v>
      </c>
      <c r="F19" s="6" t="n">
        <v>3.21</v>
      </c>
      <c r="H19" s="7">
        <f>AVERAGE($C$9:$C$20)</f>
        <v/>
      </c>
      <c r="I19" s="7">
        <f>AVERAGE($D$9:$D$20)</f>
        <v/>
      </c>
      <c r="J19" s="7">
        <f>AVERAGE($E$9:$E$20)</f>
        <v/>
      </c>
      <c r="K19" s="7">
        <f>AVERAGE($F$9:$F$20)</f>
        <v/>
      </c>
      <c r="M19" s="8">
        <f>C19-C18</f>
        <v/>
      </c>
      <c r="N19" s="8">
        <f>D19-D18</f>
        <v/>
      </c>
      <c r="O19" s="8">
        <f>E19-E18</f>
        <v/>
      </c>
      <c r="P19" s="8">
        <f>F19-F18</f>
        <v/>
      </c>
    </row>
    <row r="20">
      <c r="B20" s="5" t="inlineStr">
        <is>
          <t>Dec</t>
        </is>
      </c>
      <c r="C20" s="6" t="n">
        <v>12.31</v>
      </c>
      <c r="D20" s="6" t="n">
        <v>11.67</v>
      </c>
      <c r="E20" s="6" t="n">
        <v>14.75</v>
      </c>
      <c r="F20" s="6" t="n">
        <v>8.44</v>
      </c>
      <c r="H20" s="7">
        <f>AVERAGE($C$9:$C$20)</f>
        <v/>
      </c>
      <c r="I20" s="7">
        <f>AVERAGE($D$9:$D$20)</f>
        <v/>
      </c>
      <c r="J20" s="7">
        <f>AVERAGE($E$9:$E$20)</f>
        <v/>
      </c>
      <c r="K20" s="7">
        <f>AVERAGE($F$9:$F$20)</f>
        <v/>
      </c>
      <c r="M20" s="8">
        <f>C20-C19</f>
        <v/>
      </c>
      <c r="N20" s="8">
        <f>D20-D19</f>
        <v/>
      </c>
      <c r="O20" s="8">
        <f>E20-E19</f>
        <v/>
      </c>
      <c r="P20" s="8">
        <f>F20-F19</f>
        <v/>
      </c>
    </row>
    <row r="23">
      <c r="B23" s="3" t="inlineStr">
        <is>
          <t>Descriptive statistics — live formulas over the table above. Mean and standard deviation are identical for all four products; the median and the quartiles already disagree, and the charts disagree completely.</t>
        </is>
      </c>
    </row>
    <row r="24" ht="20" customHeight="1">
      <c r="B24" s="4" t="inlineStr">
        <is>
          <t>Statistic</t>
        </is>
      </c>
      <c r="C24" s="4" t="inlineStr">
        <is>
          <t>Product A</t>
        </is>
      </c>
      <c r="D24" s="4" t="inlineStr">
        <is>
          <t>Product B</t>
        </is>
      </c>
      <c r="E24" s="4" t="inlineStr">
        <is>
          <t>Product C</t>
        </is>
      </c>
      <c r="F24" s="4" t="inlineStr">
        <is>
          <t>Product D</t>
        </is>
      </c>
    </row>
    <row r="25">
      <c r="B25" s="2" t="inlineStr">
        <is>
          <t>n</t>
        </is>
      </c>
      <c r="C25" s="9">
        <f>COUNT(C9:C20)</f>
        <v/>
      </c>
      <c r="D25" s="9">
        <f>COUNT(D9:D20)</f>
        <v/>
      </c>
      <c r="E25" s="9">
        <f>COUNT(E9:E20)</f>
        <v/>
      </c>
      <c r="F25" s="9">
        <f>COUNT(F9:F20)</f>
        <v/>
      </c>
    </row>
    <row r="26">
      <c r="B26" s="2" t="inlineStr">
        <is>
          <t>Mean</t>
        </is>
      </c>
      <c r="C26" s="6">
        <f>AVERAGE(C9:C20)</f>
        <v/>
      </c>
      <c r="D26" s="6">
        <f>AVERAGE(D9:D20)</f>
        <v/>
      </c>
      <c r="E26" s="6">
        <f>AVERAGE(E9:E20)</f>
        <v/>
      </c>
      <c r="F26" s="6">
        <f>AVERAGE(F9:F20)</f>
        <v/>
      </c>
    </row>
    <row r="27">
      <c r="B27" s="2" t="inlineStr">
        <is>
          <t>Std deviation</t>
        </is>
      </c>
      <c r="C27" s="10">
        <f>STDEV(C9:C20)</f>
        <v/>
      </c>
      <c r="D27" s="10">
        <f>STDEV(D9:D20)</f>
        <v/>
      </c>
      <c r="E27" s="10">
        <f>STDEV(E9:E20)</f>
        <v/>
      </c>
      <c r="F27" s="10">
        <f>STDEV(F9:F20)</f>
        <v/>
      </c>
    </row>
    <row r="28">
      <c r="B28" s="2" t="inlineStr">
        <is>
          <t>Sample variance</t>
        </is>
      </c>
      <c r="C28" s="6">
        <f>VAR(C9:C20)</f>
        <v/>
      </c>
      <c r="D28" s="6">
        <f>VAR(D9:D20)</f>
        <v/>
      </c>
      <c r="E28" s="6">
        <f>VAR(E9:E20)</f>
        <v/>
      </c>
      <c r="F28" s="6">
        <f>VAR(F9:F20)</f>
        <v/>
      </c>
    </row>
    <row r="29">
      <c r="B29" s="2" t="inlineStr">
        <is>
          <t>Median</t>
        </is>
      </c>
      <c r="C29" s="6">
        <f>MEDIAN(C9:C20)</f>
        <v/>
      </c>
      <c r="D29" s="6">
        <f>MEDIAN(D9:D20)</f>
        <v/>
      </c>
      <c r="E29" s="6">
        <f>MEDIAN(E9:E20)</f>
        <v/>
      </c>
      <c r="F29" s="6">
        <f>MEDIAN(F9:F20)</f>
        <v/>
      </c>
    </row>
    <row r="30">
      <c r="B30" s="2" t="inlineStr">
        <is>
          <t>Minimum</t>
        </is>
      </c>
      <c r="C30" s="6">
        <f>MIN(C9:C20)</f>
        <v/>
      </c>
      <c r="D30" s="6">
        <f>MIN(D9:D20)</f>
        <v/>
      </c>
      <c r="E30" s="6">
        <f>MIN(E9:E20)</f>
        <v/>
      </c>
      <c r="F30" s="6">
        <f>MIN(F9:F20)</f>
        <v/>
      </c>
    </row>
    <row r="31">
      <c r="B31" s="2" t="inlineStr">
        <is>
          <t>Lower quartile</t>
        </is>
      </c>
      <c r="C31" s="6">
        <f>QUARTILE(C9:C20,1)</f>
        <v/>
      </c>
      <c r="D31" s="6">
        <f>QUARTILE(D9:D20,1)</f>
        <v/>
      </c>
      <c r="E31" s="6">
        <f>QUARTILE(E9:E20,1)</f>
        <v/>
      </c>
      <c r="F31" s="6">
        <f>QUARTILE(F9:F20,1)</f>
        <v/>
      </c>
    </row>
    <row r="32">
      <c r="B32" s="2" t="inlineStr">
        <is>
          <t>Upper quartile</t>
        </is>
      </c>
      <c r="C32" s="6">
        <f>QUARTILE(C9:C20,3)</f>
        <v/>
      </c>
      <c r="D32" s="6">
        <f>QUARTILE(D9:D20,3)</f>
        <v/>
      </c>
      <c r="E32" s="6">
        <f>QUARTILE(E9:E20,3)</f>
        <v/>
      </c>
      <c r="F32" s="6">
        <f>QUARTILE(F9:F20,3)</f>
        <v/>
      </c>
    </row>
    <row r="33">
      <c r="B33" s="2" t="inlineStr">
        <is>
          <t>Maximum</t>
        </is>
      </c>
      <c r="C33" s="6">
        <f>MAX(C9:C20)</f>
        <v/>
      </c>
      <c r="D33" s="6">
        <f>MAX(D9:D20)</f>
        <v/>
      </c>
      <c r="E33" s="6">
        <f>MAX(E9:E20)</f>
        <v/>
      </c>
      <c r="F33" s="6">
        <f>MAX(F9:F20)</f>
        <v/>
      </c>
    </row>
    <row r="34">
      <c r="B34" s="2" t="inlineStr">
        <is>
          <t>Range</t>
        </is>
      </c>
      <c r="C34" s="6">
        <f>MAX(C9:C20)-MIN(C9:C20)</f>
        <v/>
      </c>
      <c r="D34" s="6">
        <f>MAX(D9:D20)-MIN(D9:D20)</f>
        <v/>
      </c>
      <c r="E34" s="6">
        <f>MAX(E9:E20)-MIN(E9:E20)</f>
        <v/>
      </c>
      <c r="F34" s="6">
        <f>MAX(F9:F20)-MIN(F9:F20)</f>
        <v/>
      </c>
    </row>
    <row r="37">
      <c r="B37" s="3" t="inlineStr">
        <is>
          <t>What the summary above cannot see: where each product started, where it finished and how it moved. This is the shape — and only the chart shows it at a glance.</t>
        </is>
      </c>
    </row>
    <row r="38" ht="20" customHeight="1">
      <c r="B38" s="4" t="inlineStr">
        <is>
          <t>Statistic</t>
        </is>
      </c>
      <c r="C38" s="4" t="inlineStr">
        <is>
          <t>Product A</t>
        </is>
      </c>
      <c r="D38" s="4" t="inlineStr">
        <is>
          <t>Product B</t>
        </is>
      </c>
      <c r="E38" s="4" t="inlineStr">
        <is>
          <t>Product C</t>
        </is>
      </c>
      <c r="F38" s="4" t="inlineStr">
        <is>
          <t>Product D</t>
        </is>
      </c>
    </row>
    <row r="39">
      <c r="B39" s="2" t="inlineStr">
        <is>
          <t>First month</t>
        </is>
      </c>
      <c r="C39" s="6">
        <f>C9</f>
        <v/>
      </c>
      <c r="D39" s="6">
        <f>D9</f>
        <v/>
      </c>
      <c r="E39" s="6">
        <f>E9</f>
        <v/>
      </c>
      <c r="F39" s="6">
        <f>F9</f>
        <v/>
      </c>
    </row>
    <row r="40">
      <c r="B40" s="2" t="inlineStr">
        <is>
          <t>Last month</t>
        </is>
      </c>
      <c r="C40" s="6">
        <f>C20</f>
        <v/>
      </c>
      <c r="D40" s="6">
        <f>D20</f>
        <v/>
      </c>
      <c r="E40" s="6">
        <f>E20</f>
        <v/>
      </c>
      <c r="F40" s="6">
        <f>F20</f>
        <v/>
      </c>
    </row>
    <row r="41">
      <c r="B41" s="2" t="inlineStr">
        <is>
          <t>Change, first to last</t>
        </is>
      </c>
      <c r="C41" s="11">
        <f>C20-C9</f>
        <v/>
      </c>
      <c r="D41" s="11">
        <f>D20-D9</f>
        <v/>
      </c>
      <c r="E41" s="11">
        <f>E20-E9</f>
        <v/>
      </c>
      <c r="F41" s="11">
        <f>F20-F9</f>
        <v/>
      </c>
    </row>
    <row r="42">
      <c r="B42" s="2" t="inlineStr">
        <is>
          <t>Biggest month-on-month rise</t>
        </is>
      </c>
      <c r="C42" s="11">
        <f>MAX(M10:M20)</f>
        <v/>
      </c>
      <c r="D42" s="11">
        <f>MAX(N10:N20)</f>
        <v/>
      </c>
      <c r="E42" s="11">
        <f>MAX(O10:O20)</f>
        <v/>
      </c>
      <c r="F42" s="11">
        <f>MAX(P10:P20)</f>
        <v/>
      </c>
    </row>
    <row r="43">
      <c r="B43" s="2" t="inlineStr">
        <is>
          <t>Biggest month-on-month fall</t>
        </is>
      </c>
      <c r="C43" s="11">
        <f>MIN(M10:M20)</f>
        <v/>
      </c>
      <c r="D43" s="11">
        <f>MIN(N10:N20)</f>
        <v/>
      </c>
      <c r="E43" s="11">
        <f>MIN(O10:O20)</f>
        <v/>
      </c>
      <c r="F43" s="11">
        <f>MIN(P10:P20)</f>
        <v/>
      </c>
    </row>
    <row r="44">
      <c r="B44" s="2" t="inlineStr">
        <is>
          <t>Months above the mean</t>
        </is>
      </c>
      <c r="C44" s="9">
        <f>COUNTIF(C9:C20,"&gt;"&amp;AVERAGE(C9:C20))</f>
        <v/>
      </c>
      <c r="D44" s="9">
        <f>COUNTIF(D9:D20,"&gt;"&amp;AVERAGE(D9:D20))</f>
        <v/>
      </c>
      <c r="E44" s="9">
        <f>COUNTIF(E9:E20,"&gt;"&amp;AVERAGE(E9:E20))</f>
        <v/>
      </c>
      <c r="F44" s="9">
        <f>COUNTIF(F9:F20,"&gt;"&amp;AVERAGE(F9:F20))</f>
        <v/>
      </c>
    </row>
    <row r="47">
      <c r="B47" s="12" t="inlineStr">
        <is>
          <t>Source: illustrative dataset, constructed so that all four products share a mean of 8,00 MM and a standard deviation of 3,00 MM. Not real sales.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2026-09-13T18:09:05Z</dcterms:created>
  <dcterms:modified xmlns:dcterms="http://purl.org/dc/terms/" xmlns:xsi="http://www.w3.org/2001/XMLSchema-instance" xsi:type="dcterms:W3CDTF">2026-09-13T18:09:05Z</dcterms:modified>
</cp:coreProperties>
</file>