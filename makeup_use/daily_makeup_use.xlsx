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45_min\makeup_use\"/>
    </mc:Choice>
  </mc:AlternateContent>
  <xr:revisionPtr revIDLastSave="0" documentId="13_ncr:1_{018AD3FA-54EC-47F3-9913-88C1CBCE33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keup_msg" sheetId="7" r:id="rId1"/>
    <sheet name="Makeup" sheetId="1" r:id="rId2"/>
    <sheet name="Vertical" sheetId="2" r:id="rId3"/>
    <sheet name="Dot plot" sheetId="3" r:id="rId4"/>
    <sheet name="Slope" sheetId="4" r:id="rId5"/>
    <sheet name="Wrong chart typ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7" l="1"/>
  <c r="E13" i="7"/>
  <c r="E12" i="7"/>
  <c r="E11" i="7"/>
  <c r="E10" i="7"/>
  <c r="E9" i="7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14" i="4"/>
  <c r="F14" i="4" s="1"/>
  <c r="C14" i="4"/>
  <c r="B14" i="4"/>
  <c r="D13" i="4"/>
  <c r="C13" i="4"/>
  <c r="B13" i="4"/>
  <c r="F13" i="4" s="1"/>
  <c r="D12" i="4"/>
  <c r="F12" i="4" s="1"/>
  <c r="C12" i="4"/>
  <c r="B12" i="4"/>
  <c r="F11" i="4"/>
  <c r="D11" i="4"/>
  <c r="C11" i="4"/>
  <c r="B11" i="4"/>
  <c r="D10" i="4"/>
  <c r="F10" i="4" s="1"/>
  <c r="C10" i="4"/>
  <c r="B10" i="4"/>
  <c r="D9" i="4"/>
  <c r="F9" i="4" s="1"/>
  <c r="C9" i="4"/>
  <c r="B9" i="4"/>
  <c r="J27" i="3"/>
  <c r="J26" i="3"/>
  <c r="J24" i="3"/>
  <c r="J23" i="3"/>
  <c r="J21" i="3"/>
  <c r="J20" i="3"/>
  <c r="J18" i="3"/>
  <c r="J17" i="3"/>
  <c r="D14" i="3"/>
  <c r="J32" i="3" s="1"/>
  <c r="C14" i="3"/>
  <c r="J33" i="3" s="1"/>
  <c r="B14" i="3"/>
  <c r="D13" i="3"/>
  <c r="J29" i="3" s="1"/>
  <c r="C13" i="3"/>
  <c r="J30" i="3" s="1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<sst xmlns="http://schemas.openxmlformats.org/spreadsheetml/2006/main" count="51" uniqueCount="26">
  <si>
    <t>Daily makeup use fell in every category</t>
  </si>
  <si>
    <t>% reporting daily use, 2024 vs 2019</t>
  </si>
  <si>
    <t>Type</t>
  </si>
  <si>
    <t>2024</t>
  </si>
  <si>
    <t>2019</t>
  </si>
  <si>
    <t>Change (pp)</t>
  </si>
  <si>
    <t>Mascara</t>
  </si>
  <si>
    <t>Lipstick</t>
  </si>
  <si>
    <t>Foundation</t>
  </si>
  <si>
    <t>Powder</t>
  </si>
  <si>
    <t>Eyeshadow</t>
  </si>
  <si>
    <t>Eyeliner</t>
  </si>
  <si>
    <t>Values transcribed from a supplied chart image; originating survey not established. Add the citation before publishing.</t>
  </si>
  <si>
    <t>The same comparison as columns</t>
  </si>
  <si>
    <t>Side by side rather than overlapped; 2019 on the left</t>
  </si>
  <si>
    <t>The gap is the point</t>
  </si>
  <si>
    <t>Two dots and the distance between them, rather than two bar lengths to difference by eye</t>
  </si>
  <si>
    <t>Slot</t>
  </si>
  <si>
    <t>Bar</t>
  </si>
  <si>
    <t>Helper: x/y pairs for the row rails and the connectors, one blank row between segments so a single series draws six separate rules.</t>
  </si>
  <si>
    <t>Every category fell between 2019 and 2024</t>
  </si>
  <si>
    <t>% reporting daily use; slope is the encoding, so the chart is taller than it is wide</t>
  </si>
  <si>
    <t>Helper: the right-hand end labels. Each is a series name for the chart, so the caption carries the 2024 value.</t>
  </si>
  <si>
    <t>The same numbers as a line chart - and it is wrong</t>
  </si>
  <si>
    <t>A line says its points are connected. Makeup types have no order, so every slope here is an artefact of the row order, not a trend.</t>
  </si>
  <si>
    <t>Deliberately wrong. Re-sort the rows on the Makeup sheet and this chart changes shape while the data does not - that is the tell.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</si>
</sst>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\+0;\-0"/>
  </numFmts>
  <fonts count="7" x14ac:knownFonts="1">
    <font>
      <sz val="11"/>
      <color theme="1"/>
      <name val="Calibri"/>
      <family val="2"/>
      <scheme val="minor"/>
    </font>
    <font>
      <b/>
      <sz val="16"/>
      <color rgb="FF262A33"/>
      <name val="Aptos"/>
      <family val="2"/>
    </font>
    <font>
      <sz val="11"/>
      <color rgb="FF595959"/>
      <name val="Aptos"/>
      <family val="2"/>
    </font>
    <font>
      <b/>
      <sz val="11"/>
      <color rgb="FFFFFFFF"/>
      <name val="Aptos"/>
      <family val="2"/>
    </font>
    <font>
      <i/>
      <sz val="10"/>
      <color rgb="FF595959"/>
      <name val="Aptos"/>
      <family val="2"/>
    </font>
    <font>
      <i/>
      <sz val="9"/>
      <color rgb="FF595959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F5499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1" xfId="0" applyBorder="1"/>
    <xf numFmtId="164" fontId="0" fillId="0" borderId="1" xfId="0" applyNumberFormat="1" applyBorder="1"/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41D52"/>
      <color rgb="FF828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262A33"/>
                </a:solidFill>
                <a:latin typeface="Aptos"/>
                <a:ea typeface="+mn-ea"/>
                <a:cs typeface="+mn-cs"/>
              </a:defRPr>
            </a:pPr>
            <a:r>
              <a:rPr lang="en-US" sz="2000" b="1">
                <a:solidFill>
                  <a:srgbClr val="941D52"/>
                </a:solidFill>
                <a:latin typeface="Aptos"/>
              </a:rPr>
              <a:t>Eyeshadow &amp; Eyeliner recorded</a:t>
            </a:r>
            <a:r>
              <a:rPr lang="en-US" sz="2000" b="1" baseline="0">
                <a:solidFill>
                  <a:srgbClr val="941D52"/>
                </a:solidFill>
                <a:latin typeface="Aptos"/>
              </a:rPr>
              <a:t> the</a:t>
            </a:r>
            <a:r>
              <a:rPr lang="en-US" sz="2000" b="1">
                <a:solidFill>
                  <a:srgbClr val="941D52"/>
                </a:solidFill>
                <a:latin typeface="Aptos"/>
              </a:rPr>
              <a:t> sharpest</a:t>
            </a:r>
            <a:r>
              <a:rPr lang="en-US" sz="2000" b="1" baseline="0">
                <a:solidFill>
                  <a:srgbClr val="941D52"/>
                </a:solidFill>
                <a:latin typeface="Aptos"/>
              </a:rPr>
              <a:t> declines</a:t>
            </a:r>
            <a:endParaRPr lang="en-US" sz="2000" b="1">
              <a:solidFill>
                <a:srgbClr val="941D52"/>
              </a:solidFill>
              <a:latin typeface="Apto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262A33"/>
                </a:solidFill>
                <a:latin typeface="Aptos"/>
                <a:ea typeface="+mn-ea"/>
                <a:cs typeface="+mn-cs"/>
              </a:defRPr>
            </a:pPr>
            <a:r>
              <a:rPr lang="en-US" sz="1400" b="0" i="0" u="none" strike="noStrike" kern="1200" baseline="0">
                <a:solidFill>
                  <a:srgbClr val="262A33"/>
                </a:solidFill>
                <a:latin typeface="Aptos"/>
              </a:rPr>
              <a:t>Daily makeup use: </a:t>
            </a:r>
            <a:r>
              <a:rPr lang="en-US" sz="1400" b="1" i="0" u="none" strike="noStrike" kern="1200" baseline="0">
                <a:solidFill>
                  <a:srgbClr val="941D52"/>
                </a:solidFill>
                <a:latin typeface="Aptos"/>
              </a:rPr>
              <a:t>2024</a:t>
            </a:r>
            <a:r>
              <a:rPr lang="en-US" sz="1400" b="0" i="0" u="none" strike="noStrike" kern="1200" baseline="0">
                <a:solidFill>
                  <a:srgbClr val="262A33"/>
                </a:solidFill>
                <a:latin typeface="Aptos"/>
              </a:rPr>
              <a:t> vs. </a:t>
            </a:r>
            <a:r>
              <a:rPr lang="en-US" sz="1400" b="1" i="0" u="none" strike="noStrike" kern="1200" baseline="0">
                <a:solidFill>
                  <a:srgbClr val="828282"/>
                </a:solidFill>
                <a:latin typeface="Aptos"/>
              </a:rPr>
              <a:t>2019. </a:t>
            </a:r>
            <a:r>
              <a:rPr lang="en-US" sz="1400" b="0">
                <a:solidFill>
                  <a:srgbClr val="595959"/>
                </a:solidFill>
                <a:latin typeface="Aptos"/>
              </a:rPr>
              <a:t>% reporting</a:t>
            </a:r>
            <a:r>
              <a:rPr lang="en-US" sz="1400" b="0" baseline="0">
                <a:solidFill>
                  <a:srgbClr val="595959"/>
                </a:solidFill>
                <a:latin typeface="Aptos"/>
              </a:rPr>
              <a:t> daily use</a:t>
            </a:r>
            <a:endParaRPr lang="en-US" sz="1400" b="0">
              <a:solidFill>
                <a:srgbClr val="595959"/>
              </a:solidFill>
              <a:latin typeface="Aptos"/>
            </a:endParaRPr>
          </a:p>
        </c:rich>
      </c:tx>
      <c:layout>
        <c:manualLayout>
          <c:xMode val="edge"/>
          <c:yMode val="edge"/>
          <c:x val="0.01"/>
          <c:y val="0.02"/>
        </c:manualLayout>
      </c:layout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Makeup_msg!$D$8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828282"/>
            </a:solidFill>
            <a:ln>
              <a:noFill/>
              <a:prstDash val="solid"/>
            </a:ln>
          </c:spPr>
          <c:invertIfNegative val="1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pto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Makeup_msg!$B$9:$B$14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Makeup_msg!$D$9:$D$14</c:f>
              <c:numCache>
                <c:formatCode>0"%"</c:formatCode>
                <c:ptCount val="6"/>
                <c:pt idx="0">
                  <c:v>75</c:v>
                </c:pt>
                <c:pt idx="1">
                  <c:v>56</c:v>
                </c:pt>
                <c:pt idx="2">
                  <c:v>42</c:v>
                </c:pt>
                <c:pt idx="3">
                  <c:v>41</c:v>
                </c:pt>
                <c:pt idx="4">
                  <c:v>42</c:v>
                </c:pt>
                <c:pt idx="5">
                  <c:v>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E2-4612-B34B-533411728F2C}"/>
            </c:ext>
          </c:extLst>
        </c:ser>
        <c:ser>
          <c:idx val="1"/>
          <c:order val="1"/>
          <c:tx>
            <c:strRef>
              <c:f>Makeup_msg!$C$8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41D52"/>
            </a:solidFill>
            <a:ln w="12700">
              <a:solidFill>
                <a:srgbClr val="FFFFFF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E2-4612-B34B-533411728F2C}"/>
              </c:ext>
            </c:extLst>
          </c:dPt>
          <c:dPt>
            <c:idx val="1"/>
            <c:invertIfNegative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CE2-4612-B34B-533411728F2C}"/>
              </c:ext>
            </c:extLst>
          </c:dPt>
          <c:dPt>
            <c:idx val="2"/>
            <c:invertIfNegative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E2-4612-B34B-533411728F2C}"/>
              </c:ext>
            </c:extLst>
          </c:dPt>
          <c:dPt>
            <c:idx val="3"/>
            <c:invertIfNegative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CE2-4612-B34B-533411728F2C}"/>
              </c:ext>
            </c:extLst>
          </c:dPt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FFFFFF"/>
                    </a:solidFill>
                    <a:latin typeface="Apto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Makeup_msg!$B$9:$B$14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Makeup_msg!$C$9:$C$14</c:f>
              <c:numCache>
                <c:formatCode>0"%"</c:formatCode>
                <c:ptCount val="6"/>
                <c:pt idx="0">
                  <c:v>68</c:v>
                </c:pt>
                <c:pt idx="1">
                  <c:v>49</c:v>
                </c:pt>
                <c:pt idx="2">
                  <c:v>34</c:v>
                </c:pt>
                <c:pt idx="3">
                  <c:v>33</c:v>
                </c:pt>
                <c:pt idx="4">
                  <c:v>31</c:v>
                </c:pt>
                <c:pt idx="5">
                  <c:v>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CE2-4612-B34B-533411728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82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262A33"/>
                </a:solidFill>
                <a:latin typeface="Apto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80"/>
          <c:min val="0"/>
        </c:scaling>
        <c:delete val="1"/>
        <c:axPos val="b"/>
        <c:numFmt formatCode="0&quot;%&quot;" sourceLinked="1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lang="en-US" sz="1800" b="0">
                <a:solidFill>
                  <a:srgbClr val="262A33"/>
                </a:solidFill>
                <a:latin typeface="Aptos"/>
              </a:rPr>
              <a:t>Daily makeup use: </a:t>
            </a:r>
            <a:r>
              <a:rPr lang="en-US" sz="1800" b="1">
                <a:solidFill>
                  <a:srgbClr val="941D52"/>
                </a:solidFill>
                <a:latin typeface="Aptos"/>
              </a:rPr>
              <a:t>2024</a:t>
            </a:r>
            <a:r>
              <a:rPr lang="en-US" sz="1800" b="0">
                <a:solidFill>
                  <a:srgbClr val="262A33"/>
                </a:solidFill>
                <a:latin typeface="Aptos"/>
              </a:rPr>
              <a:t> vs. </a:t>
            </a:r>
            <a:r>
              <a:rPr lang="en-US" sz="1800" b="1">
                <a:solidFill>
                  <a:srgbClr val="828282"/>
                </a:solidFill>
                <a:latin typeface="Aptos"/>
              </a:rPr>
              <a:t>2019</a:t>
            </a:r>
          </a:p>
          <a:p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lang="en-US" sz="1100" b="0">
                <a:solidFill>
                  <a:srgbClr val="595959"/>
                </a:solidFill>
                <a:latin typeface="Aptos"/>
              </a:rPr>
              <a:t>% REPORTING DAILY USE</a:t>
            </a:r>
          </a:p>
        </c:rich>
      </c:tx>
      <c:layout>
        <c:manualLayout>
          <c:xMode val="edge"/>
          <c:yMode val="edge"/>
          <c:x val="0.01"/>
          <c:y val="0.02"/>
        </c:manualLayout>
      </c:layout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Makeup!$D$8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828282"/>
            </a:solidFill>
            <a:ln>
              <a:noFill/>
              <a:prstDash val="solid"/>
            </a:ln>
          </c:spPr>
          <c:invertIfNegative val="1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pto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Makeup!$B$9:$B$14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Makeup!$D$9:$D$14</c:f>
              <c:numCache>
                <c:formatCode>0"%"</c:formatCode>
                <c:ptCount val="6"/>
                <c:pt idx="0">
                  <c:v>75</c:v>
                </c:pt>
                <c:pt idx="1">
                  <c:v>56</c:v>
                </c:pt>
                <c:pt idx="2">
                  <c:v>42</c:v>
                </c:pt>
                <c:pt idx="3">
                  <c:v>41</c:v>
                </c:pt>
                <c:pt idx="4">
                  <c:v>42</c:v>
                </c:pt>
                <c:pt idx="5">
                  <c:v>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BD-452C-BB44-ECE693C11277}"/>
            </c:ext>
          </c:extLst>
        </c:ser>
        <c:ser>
          <c:idx val="1"/>
          <c:order val="1"/>
          <c:tx>
            <c:strRef>
              <c:f>Makeup!$C$8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41D52"/>
            </a:solidFill>
            <a:ln w="12700">
              <a:solidFill>
                <a:srgbClr val="FFFFFF"/>
              </a:solidFill>
              <a:prstDash val="solid"/>
            </a:ln>
          </c:spPr>
          <c:invertIfNegative val="1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FFFFFF"/>
                    </a:solidFill>
                    <a:latin typeface="Apto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Makeup!$B$9:$B$14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Makeup!$C$9:$C$14</c:f>
              <c:numCache>
                <c:formatCode>0"%"</c:formatCode>
                <c:ptCount val="6"/>
                <c:pt idx="0">
                  <c:v>68</c:v>
                </c:pt>
                <c:pt idx="1">
                  <c:v>49</c:v>
                </c:pt>
                <c:pt idx="2">
                  <c:v>34</c:v>
                </c:pt>
                <c:pt idx="3">
                  <c:v>33</c:v>
                </c:pt>
                <c:pt idx="4">
                  <c:v>31</c:v>
                </c:pt>
                <c:pt idx="5">
                  <c:v>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1BD-452C-BB44-ECE693C11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82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262A33"/>
                </a:solidFill>
                <a:latin typeface="Apto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80"/>
          <c:min val="0"/>
        </c:scaling>
        <c:delete val="1"/>
        <c:axPos val="b"/>
        <c:numFmt formatCode="0&quot;%&quot;" sourceLinked="1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lang="en-US" sz="1800" b="0">
                <a:solidFill>
                  <a:srgbClr val="262A33"/>
                </a:solidFill>
                <a:latin typeface="Aptos"/>
              </a:rPr>
              <a:t>Daily makeup use: </a:t>
            </a:r>
            <a:r>
              <a:rPr lang="en-US" sz="1800" b="1">
                <a:solidFill>
                  <a:srgbClr val="828282"/>
                </a:solidFill>
                <a:latin typeface="Aptos"/>
              </a:rPr>
              <a:t>2019</a:t>
            </a:r>
            <a:r>
              <a:rPr lang="en-US" sz="1800" b="0">
                <a:solidFill>
                  <a:srgbClr val="262A33"/>
                </a:solidFill>
                <a:latin typeface="Aptos"/>
              </a:rPr>
              <a:t> vs. </a:t>
            </a:r>
            <a:r>
              <a:rPr lang="en-US" sz="1800" b="1">
                <a:solidFill>
                  <a:srgbClr val="941D52"/>
                </a:solidFill>
                <a:latin typeface="Aptos"/>
              </a:rPr>
              <a:t>2024</a:t>
            </a:r>
          </a:p>
          <a:p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lang="en-US" sz="1100" b="0">
                <a:solidFill>
                  <a:srgbClr val="595959"/>
                </a:solidFill>
                <a:latin typeface="Aptos"/>
              </a:rPr>
              <a:t>% REPORTING DAILY USE</a:t>
            </a:r>
          </a:p>
        </c:rich>
      </c:tx>
      <c:layout>
        <c:manualLayout>
          <c:xMode val="edge"/>
          <c:yMode val="edge"/>
          <c:x val="0.01"/>
          <c:y val="0.0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Vertical!$D$8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828282"/>
            </a:solidFill>
            <a:ln>
              <a:noFill/>
              <a:prstDash val="solid"/>
            </a:ln>
          </c:spPr>
          <c:invertIfNegative val="1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FFFFFF"/>
                    </a:solidFill>
                    <a:latin typeface="Apto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Vertical!$B$9:$B$14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Vertical!$D$9:$D$14</c:f>
              <c:numCache>
                <c:formatCode>0"%"</c:formatCode>
                <c:ptCount val="6"/>
                <c:pt idx="0">
                  <c:v>75</c:v>
                </c:pt>
                <c:pt idx="1">
                  <c:v>56</c:v>
                </c:pt>
                <c:pt idx="2">
                  <c:v>42</c:v>
                </c:pt>
                <c:pt idx="3">
                  <c:v>41</c:v>
                </c:pt>
                <c:pt idx="4">
                  <c:v>42</c:v>
                </c:pt>
                <c:pt idx="5">
                  <c:v>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90-4167-BAEB-FA95300CCFF4}"/>
            </c:ext>
          </c:extLst>
        </c:ser>
        <c:ser>
          <c:idx val="1"/>
          <c:order val="1"/>
          <c:tx>
            <c:strRef>
              <c:f>Vertical!$C$8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41D52"/>
            </a:solidFill>
            <a:ln w="12700">
              <a:solidFill>
                <a:srgbClr val="FFFFFF"/>
              </a:solidFill>
              <a:prstDash val="solid"/>
            </a:ln>
          </c:spPr>
          <c:invertIfNegative val="1"/>
          <c:dLbls>
            <c:numFmt formatCode="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FFFFFF"/>
                    </a:solidFill>
                    <a:latin typeface="Apto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Vertical!$B$9:$B$14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Vertical!$C$9:$C$14</c:f>
              <c:numCache>
                <c:formatCode>0"%"</c:formatCode>
                <c:ptCount val="6"/>
                <c:pt idx="0">
                  <c:v>68</c:v>
                </c:pt>
                <c:pt idx="1">
                  <c:v>49</c:v>
                </c:pt>
                <c:pt idx="2">
                  <c:v>34</c:v>
                </c:pt>
                <c:pt idx="3">
                  <c:v>33</c:v>
                </c:pt>
                <c:pt idx="4">
                  <c:v>31</c:v>
                </c:pt>
                <c:pt idx="5">
                  <c:v>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90-4167-BAEB-FA95300CC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595959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262A33"/>
                </a:solidFill>
                <a:latin typeface="Apto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80"/>
          <c:min val="0"/>
        </c:scaling>
        <c:delete val="1"/>
        <c:axPos val="l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lang="en-US" sz="1800" b="0">
                <a:solidFill>
                  <a:srgbClr val="262A33"/>
                </a:solidFill>
                <a:latin typeface="Aptos"/>
              </a:rPr>
              <a:t>Daily makeup use: </a:t>
            </a:r>
            <a:r>
              <a:rPr lang="en-US" sz="1800" b="1">
                <a:solidFill>
                  <a:srgbClr val="941D52"/>
                </a:solidFill>
                <a:latin typeface="Aptos"/>
              </a:rPr>
              <a:t>2024</a:t>
            </a:r>
            <a:r>
              <a:rPr lang="en-US" sz="1800" b="0">
                <a:solidFill>
                  <a:srgbClr val="262A33"/>
                </a:solidFill>
                <a:latin typeface="Aptos"/>
              </a:rPr>
              <a:t> vs. </a:t>
            </a:r>
            <a:r>
              <a:rPr lang="en-US" sz="1800" b="1">
                <a:solidFill>
                  <a:srgbClr val="828282"/>
                </a:solidFill>
                <a:latin typeface="Aptos"/>
              </a:rPr>
              <a:t>2019</a:t>
            </a:r>
          </a:p>
          <a:p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lang="en-US" sz="1100" b="0">
                <a:solidFill>
                  <a:srgbClr val="595959"/>
                </a:solidFill>
                <a:latin typeface="Aptos"/>
              </a:rPr>
              <a:t>% REPORTING DAILY USE</a:t>
            </a:r>
          </a:p>
        </c:rich>
      </c:tx>
      <c:layout>
        <c:manualLayout>
          <c:xMode val="edge"/>
          <c:yMode val="edge"/>
          <c:x val="0.01"/>
          <c:y val="0.02"/>
        </c:manualLayout>
      </c:layout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'Dot plot'!$F$8</c:f>
              <c:strCache>
                <c:ptCount val="1"/>
                <c:pt idx="0">
                  <c:v>Bar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'Dot plot'!$B$9:$B$14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'Dot plot'!$F$9:$F$14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D-4178-94CB-E8E30863A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scatterChart>
        <c:scatterStyle val="lineMarker"/>
        <c:varyColors val="1"/>
        <c:ser>
          <c:idx val="1"/>
          <c:order val="1"/>
          <c:spPr>
            <a:ln w="12700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'Dot plot'!$G$17:$G$34</c:f>
              <c:numCache>
                <c:formatCode>General</c:formatCode>
                <c:ptCount val="18"/>
                <c:pt idx="0">
                  <c:v>0</c:v>
                </c:pt>
                <c:pt idx="1">
                  <c:v>80</c:v>
                </c:pt>
                <c:pt idx="3">
                  <c:v>0</c:v>
                </c:pt>
                <c:pt idx="4">
                  <c:v>80</c:v>
                </c:pt>
                <c:pt idx="6">
                  <c:v>0</c:v>
                </c:pt>
                <c:pt idx="7">
                  <c:v>80</c:v>
                </c:pt>
                <c:pt idx="9">
                  <c:v>0</c:v>
                </c:pt>
                <c:pt idx="10">
                  <c:v>80</c:v>
                </c:pt>
                <c:pt idx="12">
                  <c:v>0</c:v>
                </c:pt>
                <c:pt idx="13">
                  <c:v>80</c:v>
                </c:pt>
                <c:pt idx="15">
                  <c:v>0</c:v>
                </c:pt>
                <c:pt idx="16">
                  <c:v>80</c:v>
                </c:pt>
              </c:numCache>
            </c:numRef>
          </c:xVal>
          <c:yVal>
            <c:numRef>
              <c:f>'Dot plot'!$H$17:$H$34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2</c:v>
                </c:pt>
                <c:pt idx="6">
                  <c:v>3</c:v>
                </c:pt>
                <c:pt idx="7">
                  <c:v>3</c:v>
                </c:pt>
                <c:pt idx="9">
                  <c:v>4</c:v>
                </c:pt>
                <c:pt idx="10">
                  <c:v>4</c:v>
                </c:pt>
                <c:pt idx="12">
                  <c:v>5</c:v>
                </c:pt>
                <c:pt idx="13">
                  <c:v>5</c:v>
                </c:pt>
                <c:pt idx="15">
                  <c:v>6</c:v>
                </c:pt>
                <c:pt idx="1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AD-4178-94CB-E8E30863A80A}"/>
            </c:ext>
          </c:extLst>
        </c:ser>
        <c:ser>
          <c:idx val="2"/>
          <c:order val="2"/>
          <c:spPr>
            <a:ln w="22225">
              <a:solidFill>
                <a:srgbClr val="262A33"/>
              </a:solidFill>
              <a:prstDash val="solid"/>
            </a:ln>
          </c:spPr>
          <c:marker>
            <c:symbol val="none"/>
          </c:marker>
          <c:xVal>
            <c:numRef>
              <c:f>'Dot plot'!$J$17:$J$34</c:f>
              <c:numCache>
                <c:formatCode>General</c:formatCode>
                <c:ptCount val="18"/>
                <c:pt idx="0">
                  <c:v>75</c:v>
                </c:pt>
                <c:pt idx="1">
                  <c:v>68</c:v>
                </c:pt>
                <c:pt idx="3">
                  <c:v>56</c:v>
                </c:pt>
                <c:pt idx="4">
                  <c:v>49</c:v>
                </c:pt>
                <c:pt idx="6">
                  <c:v>42</c:v>
                </c:pt>
                <c:pt idx="7">
                  <c:v>34</c:v>
                </c:pt>
                <c:pt idx="9">
                  <c:v>41</c:v>
                </c:pt>
                <c:pt idx="10">
                  <c:v>33</c:v>
                </c:pt>
                <c:pt idx="12">
                  <c:v>42</c:v>
                </c:pt>
                <c:pt idx="13">
                  <c:v>31</c:v>
                </c:pt>
                <c:pt idx="15">
                  <c:v>39</c:v>
                </c:pt>
                <c:pt idx="16">
                  <c:v>28</c:v>
                </c:pt>
              </c:numCache>
            </c:numRef>
          </c:xVal>
          <c:yVal>
            <c:numRef>
              <c:f>'Dot plot'!$K$17:$K$34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2</c:v>
                </c:pt>
                <c:pt idx="6">
                  <c:v>3</c:v>
                </c:pt>
                <c:pt idx="7">
                  <c:v>3</c:v>
                </c:pt>
                <c:pt idx="9">
                  <c:v>4</c:v>
                </c:pt>
                <c:pt idx="10">
                  <c:v>4</c:v>
                </c:pt>
                <c:pt idx="12">
                  <c:v>5</c:v>
                </c:pt>
                <c:pt idx="13">
                  <c:v>5</c:v>
                </c:pt>
                <c:pt idx="15">
                  <c:v>6</c:v>
                </c:pt>
                <c:pt idx="1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AD-4178-94CB-E8E30863A80A}"/>
            </c:ext>
          </c:extLst>
        </c:ser>
        <c:ser>
          <c:idx val="3"/>
          <c:order val="3"/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828282"/>
              </a:solidFill>
              <a:ln w="12700">
                <a:solidFill>
                  <a:schemeClr val="tx1"/>
                </a:solidFill>
                <a:prstDash val="solid"/>
              </a:ln>
            </c:spPr>
          </c:marker>
          <c:xVal>
            <c:numRef>
              <c:f>'Dot plot'!$D$9:$D$14</c:f>
              <c:numCache>
                <c:formatCode>0"%"</c:formatCode>
                <c:ptCount val="6"/>
                <c:pt idx="0">
                  <c:v>75</c:v>
                </c:pt>
                <c:pt idx="1">
                  <c:v>56</c:v>
                </c:pt>
                <c:pt idx="2">
                  <c:v>42</c:v>
                </c:pt>
                <c:pt idx="3">
                  <c:v>41</c:v>
                </c:pt>
                <c:pt idx="4">
                  <c:v>42</c:v>
                </c:pt>
                <c:pt idx="5">
                  <c:v>39</c:v>
                </c:pt>
              </c:numCache>
            </c:numRef>
          </c:xVal>
          <c:yVal>
            <c:numRef>
              <c:f>'Dot plot'!$E$9:$E$14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AD-4178-94CB-E8E30863A80A}"/>
            </c:ext>
          </c:extLst>
        </c:ser>
        <c:ser>
          <c:idx val="4"/>
          <c:order val="4"/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941D52"/>
              </a:solidFill>
              <a:ln w="12700">
                <a:solidFill>
                  <a:schemeClr val="tx1"/>
                </a:solidFill>
                <a:prstDash val="solid"/>
              </a:ln>
            </c:spPr>
          </c:marker>
          <c:xVal>
            <c:numRef>
              <c:f>'Dot plot'!$C$9:$C$14</c:f>
              <c:numCache>
                <c:formatCode>0"%"</c:formatCode>
                <c:ptCount val="6"/>
                <c:pt idx="0">
                  <c:v>68</c:v>
                </c:pt>
                <c:pt idx="1">
                  <c:v>49</c:v>
                </c:pt>
                <c:pt idx="2">
                  <c:v>34</c:v>
                </c:pt>
                <c:pt idx="3">
                  <c:v>33</c:v>
                </c:pt>
                <c:pt idx="4">
                  <c:v>31</c:v>
                </c:pt>
                <c:pt idx="5">
                  <c:v>28</c:v>
                </c:pt>
              </c:numCache>
            </c:numRef>
          </c:xVal>
          <c:yVal>
            <c:numRef>
              <c:f>'Dot plot'!$E$9:$E$14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AD-4178-94CB-E8E30863A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"/>
        <c:axId val="200"/>
      </c:scatte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595959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262A33"/>
                </a:solidFill>
                <a:latin typeface="Apto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80"/>
          <c:min val="0"/>
        </c:scaling>
        <c:delete val="0"/>
        <c:axPos val="t"/>
        <c:numFmt formatCode="0&quot;%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solidFill>
                  <a:srgbClr val="595959"/>
                </a:solidFill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  <c:majorUnit val="10"/>
      </c:valAx>
      <c:valAx>
        <c:axId val="300"/>
        <c:scaling>
          <c:orientation val="minMax"/>
          <c:max val="80"/>
          <c:min val="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>
            <a:noFill/>
            <a:prstDash val="solid"/>
          </a:ln>
        </c:spPr>
        <c:crossAx val="200"/>
        <c:crosses val="max"/>
        <c:crossBetween val="midCat"/>
      </c:valAx>
      <c:valAx>
        <c:axId val="200"/>
        <c:scaling>
          <c:orientation val="maxMin"/>
          <c:max val="6.5"/>
          <c:min val="0.5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  <a:prstDash val="solid"/>
          </a:ln>
        </c:spPr>
        <c:crossAx val="300"/>
        <c:crosses val="max"/>
        <c:crossBetween val="midCat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lang="en-US" sz="1800" b="1">
                <a:solidFill>
                  <a:srgbClr val="262A33"/>
                </a:solidFill>
                <a:latin typeface="Aptos"/>
              </a:rPr>
              <a:t>Daily makeup use</a:t>
            </a:r>
          </a:p>
          <a:p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lang="en-US" sz="1100" b="0">
                <a:solidFill>
                  <a:srgbClr val="595959"/>
                </a:solidFill>
                <a:latin typeface="Aptos"/>
              </a:rPr>
              <a:t>% REPORTING DAILY USE</a:t>
            </a:r>
          </a:p>
        </c:rich>
      </c:tx>
      <c:layout>
        <c:manualLayout>
          <c:xMode val="edge"/>
          <c:yMode val="edge"/>
          <c:x val="1.0000011440875273E-2"/>
          <c:y val="2.9482252427779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033055940472702"/>
          <c:y val="0.15"/>
          <c:w val="0.41907880360479094"/>
          <c:h val="0.70639074074074071"/>
        </c:manualLayout>
      </c:layout>
      <c:lineChart>
        <c:grouping val="standard"/>
        <c:varyColors val="1"/>
        <c:ser>
          <c:idx val="0"/>
          <c:order val="0"/>
          <c:tx>
            <c:strRef>
              <c:f>Slope!$F$9</c:f>
              <c:strCache>
                <c:ptCount val="1"/>
                <c:pt idx="0">
                  <c:v>68% Mascara</c:v>
                </c:pt>
              </c:strCache>
            </c:strRef>
          </c:tx>
          <c:spPr>
            <a:ln w="19050">
              <a:solidFill>
                <a:srgbClr val="262A33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62A33"/>
              </a:solidFill>
              <a:ln>
                <a:solidFill>
                  <a:srgbClr val="262A33"/>
                </a:solidFill>
                <a:prstDash val="solid"/>
              </a:ln>
            </c:spPr>
          </c:marker>
          <c:dLbls>
            <c:dLbl>
              <c:idx val="0"/>
              <c:numFmt formatCode="0&quot;%&quot;" sourceLinked="0"/>
              <c:spPr/>
              <c:txPr>
                <a:bodyPr/>
                <a:lstStyle/>
                <a:p>
                  <a:pPr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  <a:cs typeface="Aparajita" panose="02020603050405020304" pitchFamily="18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5B-44E3-B571-1AD3E3BFB68B}"/>
                </c:ext>
              </c:extLst>
            </c:dLbl>
            <c:dLbl>
              <c:idx val="1"/>
              <c:numFmt formatCode="0&quot;%&quot;" sourceLinked="0"/>
              <c:spPr/>
              <c:txPr>
                <a:bodyPr anchorCtr="0"/>
                <a:lstStyle/>
                <a:p>
                  <a:pPr algn="l"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  <a:cs typeface="Aparajita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61117956568153"/>
                      <c:h val="6.33040123456790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75B-44E3-B571-1AD3E3BFB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ptos" panose="020B0004020202020204" pitchFamily="34" charset="0"/>
                    <a:cs typeface="Aparajita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Slope!$C$8:$D$8</c:f>
              <c:strCache>
                <c:ptCount val="2"/>
                <c:pt idx="0">
                  <c:v>2019</c:v>
                </c:pt>
                <c:pt idx="1">
                  <c:v>2024</c:v>
                </c:pt>
              </c:strCache>
            </c:strRef>
          </c:cat>
          <c:val>
            <c:numRef>
              <c:f>Slope!$C$9:$D$9</c:f>
              <c:numCache>
                <c:formatCode>0"%"</c:formatCode>
                <c:ptCount val="2"/>
                <c:pt idx="0">
                  <c:v>75</c:v>
                </c:pt>
                <c:pt idx="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B-44E3-B571-1AD3E3BFB68B}"/>
            </c:ext>
          </c:extLst>
        </c:ser>
        <c:ser>
          <c:idx val="1"/>
          <c:order val="1"/>
          <c:tx>
            <c:strRef>
              <c:f>Slope!$F$10</c:f>
              <c:strCache>
                <c:ptCount val="1"/>
                <c:pt idx="0">
                  <c:v>49% Lipstick</c:v>
                </c:pt>
              </c:strCache>
            </c:strRef>
          </c:tx>
          <c:spPr>
            <a:ln w="19050">
              <a:solidFill>
                <a:srgbClr val="262A33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62A33"/>
              </a:solidFill>
              <a:ln>
                <a:solidFill>
                  <a:srgbClr val="262A33"/>
                </a:solidFill>
                <a:prstDash val="solid"/>
              </a:ln>
            </c:spPr>
          </c:marker>
          <c:dLbls>
            <c:dLbl>
              <c:idx val="0"/>
              <c:numFmt formatCode="0&quot;%&quot;" sourceLinked="0"/>
              <c:spPr/>
              <c:txPr>
                <a:bodyPr/>
                <a:lstStyle/>
                <a:p>
                  <a:pPr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5B-44E3-B571-1AD3E3BFB68B}"/>
                </c:ext>
              </c:extLst>
            </c:dLbl>
            <c:dLbl>
              <c:idx val="1"/>
              <c:numFmt formatCode="0&quot;%&quot;" sourceLinked="0"/>
              <c:spPr/>
              <c:txPr>
                <a:bodyPr anchorCtr="0"/>
                <a:lstStyle/>
                <a:p>
                  <a:pPr algn="l"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991351842381351"/>
                      <c:h val="7.85099924592435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75B-44E3-B571-1AD3E3BFB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Slope!$C$8:$D$8</c:f>
              <c:strCache>
                <c:ptCount val="2"/>
                <c:pt idx="0">
                  <c:v>2019</c:v>
                </c:pt>
                <c:pt idx="1">
                  <c:v>2024</c:v>
                </c:pt>
              </c:strCache>
            </c:strRef>
          </c:cat>
          <c:val>
            <c:numRef>
              <c:f>Slope!$C$10:$D$10</c:f>
              <c:numCache>
                <c:formatCode>0"%"</c:formatCode>
                <c:ptCount val="2"/>
                <c:pt idx="0">
                  <c:v>56</c:v>
                </c:pt>
                <c:pt idx="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5B-44E3-B571-1AD3E3BFB68B}"/>
            </c:ext>
          </c:extLst>
        </c:ser>
        <c:ser>
          <c:idx val="2"/>
          <c:order val="2"/>
          <c:tx>
            <c:strRef>
              <c:f>Slope!$F$11</c:f>
              <c:strCache>
                <c:ptCount val="1"/>
                <c:pt idx="0">
                  <c:v>34% Foundation</c:v>
                </c:pt>
              </c:strCache>
            </c:strRef>
          </c:tx>
          <c:spPr>
            <a:ln w="19050">
              <a:solidFill>
                <a:srgbClr val="262A33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62A33"/>
              </a:solidFill>
              <a:ln>
                <a:solidFill>
                  <a:srgbClr val="262A33"/>
                </a:solidFill>
                <a:prstDash val="solid"/>
              </a:ln>
            </c:spPr>
          </c:marker>
          <c:dLbls>
            <c:dLbl>
              <c:idx val="0"/>
              <c:numFmt formatCode="0&quot;%&quot;" sourceLinked="0"/>
              <c:spPr/>
              <c:txPr>
                <a:bodyPr/>
                <a:lstStyle/>
                <a:p>
                  <a:pPr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5B-44E3-B571-1AD3E3BFB68B}"/>
                </c:ext>
              </c:extLst>
            </c:dLbl>
            <c:dLbl>
              <c:idx val="1"/>
              <c:layout>
                <c:manualLayout>
                  <c:x val="-5.8119646385428134E-3"/>
                  <c:y val="-1.2959799382716193E-2"/>
                </c:manualLayout>
              </c:layout>
              <c:numFmt formatCode="0&quot;%&quot;" sourceLinked="0"/>
              <c:spPr/>
              <c:txPr>
                <a:bodyPr/>
                <a:lstStyle/>
                <a:p>
                  <a:pPr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624267926993484"/>
                      <c:h val="6.33040123456790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75B-44E3-B571-1AD3E3BFB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Slope!$C$8:$D$8</c:f>
              <c:strCache>
                <c:ptCount val="2"/>
                <c:pt idx="0">
                  <c:v>2019</c:v>
                </c:pt>
                <c:pt idx="1">
                  <c:v>2024</c:v>
                </c:pt>
              </c:strCache>
            </c:strRef>
          </c:cat>
          <c:val>
            <c:numRef>
              <c:f>Slope!$C$11:$D$11</c:f>
              <c:numCache>
                <c:formatCode>0"%"</c:formatCode>
                <c:ptCount val="2"/>
                <c:pt idx="0">
                  <c:v>42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5B-44E3-B571-1AD3E3BFB68B}"/>
            </c:ext>
          </c:extLst>
        </c:ser>
        <c:ser>
          <c:idx val="3"/>
          <c:order val="3"/>
          <c:tx>
            <c:strRef>
              <c:f>Slope!$F$12</c:f>
              <c:strCache>
                <c:ptCount val="1"/>
                <c:pt idx="0">
                  <c:v>33% Powder</c:v>
                </c:pt>
              </c:strCache>
            </c:strRef>
          </c:tx>
          <c:spPr>
            <a:ln w="19050">
              <a:solidFill>
                <a:srgbClr val="262A33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62A33"/>
              </a:solidFill>
              <a:ln>
                <a:solidFill>
                  <a:srgbClr val="262A33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4700849713806504E-2"/>
                  <c:y val="6.8395833333333329E-3"/>
                </c:manualLayout>
              </c:layout>
              <c:numFmt formatCode="0&quot;%&quot;" sourceLinked="0"/>
              <c:spPr/>
              <c:txPr>
                <a:bodyPr/>
                <a:lstStyle/>
                <a:p>
                  <a:pPr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49128720143604"/>
                      <c:h val="3.97854938271604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75B-44E3-B571-1AD3E3BFB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Slope!$C$8:$D$8</c:f>
              <c:strCache>
                <c:ptCount val="2"/>
                <c:pt idx="0">
                  <c:v>2019</c:v>
                </c:pt>
                <c:pt idx="1">
                  <c:v>2024</c:v>
                </c:pt>
              </c:strCache>
            </c:strRef>
          </c:cat>
          <c:val>
            <c:numRef>
              <c:f>Slope!$C$12:$D$12</c:f>
              <c:numCache>
                <c:formatCode>0"%"</c:formatCode>
                <c:ptCount val="2"/>
                <c:pt idx="0">
                  <c:v>41</c:v>
                </c:pt>
                <c:pt idx="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5B-44E3-B571-1AD3E3BFB68B}"/>
            </c:ext>
          </c:extLst>
        </c:ser>
        <c:ser>
          <c:idx val="4"/>
          <c:order val="4"/>
          <c:tx>
            <c:strRef>
              <c:f>Slope!$F$13</c:f>
              <c:strCache>
                <c:ptCount val="1"/>
                <c:pt idx="0">
                  <c:v>31% Eyeshadow</c:v>
                </c:pt>
              </c:strCache>
            </c:strRef>
          </c:tx>
          <c:spPr>
            <a:ln w="19050">
              <a:solidFill>
                <a:srgbClr val="262A33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62A33"/>
              </a:solidFill>
              <a:ln>
                <a:solidFill>
                  <a:srgbClr val="262A33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179486739453515E-2"/>
                  <c:y val="1.383966049382716E-2"/>
                </c:manualLayout>
              </c:layout>
              <c:numFmt formatCode="0&quot;%&quot;" sourceLinked="0"/>
              <c:spPr/>
              <c:txPr>
                <a:bodyPr/>
                <a:lstStyle/>
                <a:p>
                  <a:pPr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813572081518525"/>
                      <c:h val="3.5865740740740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A75B-44E3-B571-1AD3E3BFB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Slope!$C$8:$D$8</c:f>
              <c:strCache>
                <c:ptCount val="2"/>
                <c:pt idx="0">
                  <c:v>2019</c:v>
                </c:pt>
                <c:pt idx="1">
                  <c:v>2024</c:v>
                </c:pt>
              </c:strCache>
            </c:strRef>
          </c:cat>
          <c:val>
            <c:numRef>
              <c:f>Slope!$C$13:$D$13</c:f>
              <c:numCache>
                <c:formatCode>0"%"</c:formatCode>
                <c:ptCount val="2"/>
                <c:pt idx="0">
                  <c:v>42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5B-44E3-B571-1AD3E3BFB68B}"/>
            </c:ext>
          </c:extLst>
        </c:ser>
        <c:ser>
          <c:idx val="5"/>
          <c:order val="5"/>
          <c:tx>
            <c:strRef>
              <c:f>Slope!$F$14</c:f>
              <c:strCache>
                <c:ptCount val="1"/>
                <c:pt idx="0">
                  <c:v>28% Eyeliner</c:v>
                </c:pt>
              </c:strCache>
            </c:strRef>
          </c:tx>
          <c:spPr>
            <a:ln w="19050">
              <a:solidFill>
                <a:srgbClr val="262A33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62A33"/>
              </a:solidFill>
              <a:ln>
                <a:solidFill>
                  <a:srgbClr val="262A33"/>
                </a:solidFill>
                <a:prstDash val="solid"/>
              </a:ln>
            </c:spPr>
          </c:marker>
          <c:dLbls>
            <c:dLbl>
              <c:idx val="0"/>
              <c:numFmt formatCode="0&quot;%&quot;" sourceLinked="0"/>
              <c:spPr/>
              <c:txPr>
                <a:bodyPr/>
                <a:lstStyle/>
                <a:p>
                  <a:pPr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75B-44E3-B571-1AD3E3BFB68B}"/>
                </c:ext>
              </c:extLst>
            </c:dLbl>
            <c:dLbl>
              <c:idx val="1"/>
              <c:layout>
                <c:manualLayout>
                  <c:x val="1.1440875262066719E-7"/>
                  <c:y val="1.2430764755193271E-2"/>
                </c:manualLayout>
              </c:layout>
              <c:numFmt formatCode="0&quot;%&quot;" sourceLinked="0"/>
              <c:spPr/>
              <c:txPr>
                <a:bodyPr anchorCtr="0"/>
                <a:lstStyle/>
                <a:p>
                  <a:pPr algn="l">
                    <a:defRPr sz="1200" b="0">
                      <a:solidFill>
                        <a:srgbClr val="262A33"/>
                      </a:solidFill>
                      <a:latin typeface="Aptos" panose="020B00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93596885336111"/>
                      <c:h val="7.85099924592435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A75B-44E3-B571-1AD3E3BFB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Slope!$C$8:$D$8</c:f>
              <c:strCache>
                <c:ptCount val="2"/>
                <c:pt idx="0">
                  <c:v>2019</c:v>
                </c:pt>
                <c:pt idx="1">
                  <c:v>2024</c:v>
                </c:pt>
              </c:strCache>
            </c:strRef>
          </c:cat>
          <c:val>
            <c:numRef>
              <c:f>Slope!$C$14:$D$14</c:f>
              <c:numCache>
                <c:formatCode>0"%"</c:formatCode>
                <c:ptCount val="2"/>
                <c:pt idx="0">
                  <c:v>39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75B-44E3-B571-1AD3E3BFB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chemeClr val="tx1"/>
            </a:solidFill>
            <a:prstDash val="solid"/>
          </a:ln>
        </c:spPr>
        <c:txPr>
          <a:bodyPr/>
          <a:lstStyle/>
          <a:p>
            <a:pPr>
              <a:defRPr sz="1400" b="0">
                <a:solidFill>
                  <a:srgbClr val="595959"/>
                </a:solidFill>
                <a:latin typeface="Aptos" panose="020B0004020202020204" pitchFamily="34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76"/>
          <c:min val="25"/>
        </c:scaling>
        <c:delete val="1"/>
        <c:axPos val="l"/>
        <c:numFmt formatCode="0&quot;%&quot;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2400" b="1">
                <a:solidFill>
                  <a:srgbClr val="262A33"/>
                </a:solidFill>
                <a:latin typeface="Aptos"/>
              </a:defRPr>
            </a:pPr>
            <a:r>
              <a:rPr lang="en-US" sz="2400" b="0">
                <a:solidFill>
                  <a:srgbClr val="262A33"/>
                </a:solidFill>
                <a:latin typeface="Aptos"/>
              </a:rPr>
              <a:t>Daily makeup use: </a:t>
            </a:r>
            <a:r>
              <a:rPr lang="en-US" sz="2400" b="1">
                <a:solidFill>
                  <a:srgbClr val="941D52"/>
                </a:solidFill>
                <a:latin typeface="Aptos"/>
              </a:rPr>
              <a:t>2024</a:t>
            </a:r>
            <a:r>
              <a:rPr lang="en-US" sz="2400" b="0">
                <a:solidFill>
                  <a:srgbClr val="262A33"/>
                </a:solidFill>
                <a:latin typeface="Aptos"/>
              </a:rPr>
              <a:t> vs. </a:t>
            </a:r>
            <a:r>
              <a:rPr lang="en-US" sz="2400" b="1">
                <a:solidFill>
                  <a:srgbClr val="828282"/>
                </a:solidFill>
                <a:latin typeface="Aptos"/>
              </a:rPr>
              <a:t>2019</a:t>
            </a:r>
          </a:p>
          <a:p>
            <a:pPr algn="l">
              <a:defRPr sz="2400" b="1">
                <a:solidFill>
                  <a:srgbClr val="262A33"/>
                </a:solidFill>
                <a:latin typeface="Aptos"/>
              </a:defRPr>
            </a:pPr>
            <a:r>
              <a:rPr lang="en-US" sz="1600" b="0">
                <a:solidFill>
                  <a:srgbClr val="595959"/>
                </a:solidFill>
                <a:latin typeface="Aptos"/>
              </a:rPr>
              <a:t>% REPORTING DAILY USE</a:t>
            </a:r>
          </a:p>
        </c:rich>
      </c:tx>
      <c:layout>
        <c:manualLayout>
          <c:xMode val="edge"/>
          <c:yMode val="edge"/>
          <c:x val="0.01"/>
          <c:y val="0.0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'Wrong chart type'!$D$8</c:f>
              <c:strCache>
                <c:ptCount val="1"/>
                <c:pt idx="0">
                  <c:v>2019</c:v>
                </c:pt>
              </c:strCache>
            </c:strRef>
          </c:tx>
          <c:spPr>
            <a:ln w="28575">
              <a:solidFill>
                <a:srgbClr val="82828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28282"/>
              </a:solidFill>
              <a:ln w="15875">
                <a:solidFill>
                  <a:srgbClr val="828282"/>
                </a:solidFill>
                <a:prstDash val="solid"/>
              </a:ln>
            </c:spPr>
          </c:marker>
          <c:cat>
            <c:strRef>
              <c:f>'Wrong chart type'!$B$9:$B$14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'Wrong chart type'!$D$9:$D$14</c:f>
              <c:numCache>
                <c:formatCode>0"%"</c:formatCode>
                <c:ptCount val="6"/>
                <c:pt idx="0">
                  <c:v>75</c:v>
                </c:pt>
                <c:pt idx="1">
                  <c:v>56</c:v>
                </c:pt>
                <c:pt idx="2">
                  <c:v>42</c:v>
                </c:pt>
                <c:pt idx="3">
                  <c:v>41</c:v>
                </c:pt>
                <c:pt idx="4">
                  <c:v>42</c:v>
                </c:pt>
                <c:pt idx="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6-4439-9E41-9F2AFBF8B038}"/>
            </c:ext>
          </c:extLst>
        </c:ser>
        <c:ser>
          <c:idx val="1"/>
          <c:order val="1"/>
          <c:tx>
            <c:strRef>
              <c:f>'Wrong chart type'!$C$8</c:f>
              <c:strCache>
                <c:ptCount val="1"/>
                <c:pt idx="0">
                  <c:v>2024</c:v>
                </c:pt>
              </c:strCache>
            </c:strRef>
          </c:tx>
          <c:spPr>
            <a:ln w="28575">
              <a:solidFill>
                <a:srgbClr val="941D5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941D52"/>
              </a:solidFill>
              <a:ln w="15875">
                <a:solidFill>
                  <a:srgbClr val="941D52"/>
                </a:solidFill>
                <a:prstDash val="solid"/>
              </a:ln>
            </c:spPr>
          </c:marker>
          <c:cat>
            <c:strRef>
              <c:f>'Wrong chart type'!$B$9:$B$14</c:f>
              <c:strCache>
                <c:ptCount val="6"/>
                <c:pt idx="0">
                  <c:v>Mascara</c:v>
                </c:pt>
                <c:pt idx="1">
                  <c:v>Lipstick</c:v>
                </c:pt>
                <c:pt idx="2">
                  <c:v>Foundation</c:v>
                </c:pt>
                <c:pt idx="3">
                  <c:v>Powder</c:v>
                </c:pt>
                <c:pt idx="4">
                  <c:v>Eyeshadow</c:v>
                </c:pt>
                <c:pt idx="5">
                  <c:v>Eyeliner</c:v>
                </c:pt>
              </c:strCache>
            </c:strRef>
          </c:cat>
          <c:val>
            <c:numRef>
              <c:f>'Wrong chart type'!$C$9:$C$14</c:f>
              <c:numCache>
                <c:formatCode>0"%"</c:formatCode>
                <c:ptCount val="6"/>
                <c:pt idx="0">
                  <c:v>68</c:v>
                </c:pt>
                <c:pt idx="1">
                  <c:v>49</c:v>
                </c:pt>
                <c:pt idx="2">
                  <c:v>34</c:v>
                </c:pt>
                <c:pt idx="3">
                  <c:v>33</c:v>
                </c:pt>
                <c:pt idx="4">
                  <c:v>31</c:v>
                </c:pt>
                <c:pt idx="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6-4439-9E41-9F2AFBF8B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595959"/>
            </a:solidFill>
            <a:prstDash val="solid"/>
          </a:ln>
        </c:spPr>
        <c:txPr>
          <a:bodyPr/>
          <a:lstStyle/>
          <a:p>
            <a:pPr>
              <a:defRPr sz="1400" b="0">
                <a:solidFill>
                  <a:srgbClr val="262A33"/>
                </a:solidFill>
                <a:latin typeface="Apto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80"/>
          <c:min val="0"/>
        </c:scaling>
        <c:delete val="0"/>
        <c:axPos val="l"/>
        <c:majorGridlines>
          <c:spPr>
            <a:ln w="9525">
              <a:solidFill>
                <a:srgbClr val="E8E8E8"/>
              </a:solidFill>
              <a:prstDash val="solid"/>
            </a:ln>
          </c:spPr>
        </c:majorGridlines>
        <c:numFmt formatCode="0&quot;%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  <c:majorUnit val="20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61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CE0E1-A022-441D-9F27-F573B2CA1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61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68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7</xdr:row>
      <xdr:rowOff>0</xdr:rowOff>
    </xdr:from>
    <xdr:ext cx="61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44823</xdr:colOff>
      <xdr:row>5</xdr:row>
      <xdr:rowOff>134471</xdr:rowOff>
    </xdr:from>
    <xdr:ext cx="4370295" cy="52249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609599</xdr:colOff>
      <xdr:row>7</xdr:row>
      <xdr:rowOff>0</xdr:rowOff>
    </xdr:from>
    <xdr:ext cx="6924675" cy="3914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45EF-8D93-43C1-B267-B679A5757118}">
  <dimension ref="B2:E17"/>
  <sheetViews>
    <sheetView showGridLines="0" tabSelected="1" workbookViewId="0">
      <selection activeCell="T27" sqref="T27"/>
    </sheetView>
  </sheetViews>
  <sheetFormatPr defaultRowHeight="15" x14ac:dyDescent="0.25"/>
  <cols>
    <col min="2" max="2" width="14" customWidth="1"/>
    <col min="3" max="4" width="9" customWidth="1"/>
    <col min="5" max="5" width="13" customWidth="1"/>
  </cols>
  <sheetData>
    <row r="2" spans="2:5" ht="24" customHeight="1" x14ac:dyDescent="0.25">
      <c r="B2" s="1" t="s">
        <v>0</v>
      </c>
    </row>
    <row r="3" spans="2:5" x14ac:dyDescent="0.25">
      <c r="B3" s="2" t="s">
        <v>1</v>
      </c>
    </row>
    <row r="8" spans="2:5" ht="15" customHeight="1" x14ac:dyDescent="0.25">
      <c r="B8" s="10" t="s">
        <v>2</v>
      </c>
      <c r="C8" s="11" t="s">
        <v>3</v>
      </c>
      <c r="D8" s="11" t="s">
        <v>4</v>
      </c>
      <c r="E8" s="3" t="s">
        <v>5</v>
      </c>
    </row>
    <row r="9" spans="2:5" x14ac:dyDescent="0.25">
      <c r="B9" s="8" t="s">
        <v>6</v>
      </c>
      <c r="C9" s="9">
        <v>68</v>
      </c>
      <c r="D9" s="9">
        <v>75</v>
      </c>
      <c r="E9" s="5">
        <f t="shared" ref="E9:E14" si="0">C9-D9</f>
        <v>-7</v>
      </c>
    </row>
    <row r="10" spans="2:5" x14ac:dyDescent="0.25">
      <c r="B10" s="8" t="s">
        <v>7</v>
      </c>
      <c r="C10" s="9">
        <v>49</v>
      </c>
      <c r="D10" s="9">
        <v>56</v>
      </c>
      <c r="E10" s="5">
        <f t="shared" si="0"/>
        <v>-7</v>
      </c>
    </row>
    <row r="11" spans="2:5" x14ac:dyDescent="0.25">
      <c r="B11" s="8" t="s">
        <v>8</v>
      </c>
      <c r="C11" s="9">
        <v>34</v>
      </c>
      <c r="D11" s="9">
        <v>42</v>
      </c>
      <c r="E11" s="5">
        <f t="shared" si="0"/>
        <v>-8</v>
      </c>
    </row>
    <row r="12" spans="2:5" x14ac:dyDescent="0.25">
      <c r="B12" s="8" t="s">
        <v>9</v>
      </c>
      <c r="C12" s="9">
        <v>33</v>
      </c>
      <c r="D12" s="9">
        <v>41</v>
      </c>
      <c r="E12" s="5">
        <f t="shared" si="0"/>
        <v>-8</v>
      </c>
    </row>
    <row r="13" spans="2:5" x14ac:dyDescent="0.25">
      <c r="B13" s="8" t="s">
        <v>10</v>
      </c>
      <c r="C13" s="9">
        <v>31</v>
      </c>
      <c r="D13" s="9">
        <v>42</v>
      </c>
      <c r="E13" s="5">
        <f t="shared" si="0"/>
        <v>-11</v>
      </c>
    </row>
    <row r="14" spans="2:5" x14ac:dyDescent="0.25">
      <c r="B14" s="8" t="s">
        <v>11</v>
      </c>
      <c r="C14" s="9">
        <v>28</v>
      </c>
      <c r="D14" s="9">
        <v>39</v>
      </c>
      <c r="E14" s="5">
        <f t="shared" si="0"/>
        <v>-11</v>
      </c>
    </row>
    <row r="17" spans="2:2" x14ac:dyDescent="0.25">
      <c r="B17" s="6" t="s">
        <v>12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showGridLines="0" workbookViewId="0">
      <selection activeCell="R9" sqref="R9"/>
    </sheetView>
  </sheetViews>
  <sheetFormatPr defaultRowHeight="15" x14ac:dyDescent="0.25"/>
  <cols>
    <col min="2" max="2" width="14" customWidth="1"/>
    <col min="3" max="4" width="9" customWidth="1"/>
    <col min="5" max="5" width="13" customWidth="1"/>
  </cols>
  <sheetData>
    <row r="2" spans="2:5" ht="24" customHeight="1" x14ac:dyDescent="0.25">
      <c r="B2" s="1" t="s">
        <v>0</v>
      </c>
    </row>
    <row r="3" spans="2:5" x14ac:dyDescent="0.25">
      <c r="B3" s="2" t="s">
        <v>1</v>
      </c>
    </row>
    <row r="8" spans="2:5" ht="15" customHeight="1" x14ac:dyDescent="0.25">
      <c r="B8" s="10" t="s">
        <v>2</v>
      </c>
      <c r="C8" s="11" t="s">
        <v>3</v>
      </c>
      <c r="D8" s="11" t="s">
        <v>4</v>
      </c>
      <c r="E8" s="3" t="s">
        <v>5</v>
      </c>
    </row>
    <row r="9" spans="2:5" x14ac:dyDescent="0.25">
      <c r="B9" s="8" t="s">
        <v>6</v>
      </c>
      <c r="C9" s="9">
        <v>68</v>
      </c>
      <c r="D9" s="9">
        <v>75</v>
      </c>
      <c r="E9" s="5">
        <f t="shared" ref="E9:E14" si="0">C9-D9</f>
        <v>-7</v>
      </c>
    </row>
    <row r="10" spans="2:5" x14ac:dyDescent="0.25">
      <c r="B10" s="8" t="s">
        <v>7</v>
      </c>
      <c r="C10" s="9">
        <v>49</v>
      </c>
      <c r="D10" s="9">
        <v>56</v>
      </c>
      <c r="E10" s="5">
        <f t="shared" si="0"/>
        <v>-7</v>
      </c>
    </row>
    <row r="11" spans="2:5" x14ac:dyDescent="0.25">
      <c r="B11" s="8" t="s">
        <v>8</v>
      </c>
      <c r="C11" s="9">
        <v>34</v>
      </c>
      <c r="D11" s="9">
        <v>42</v>
      </c>
      <c r="E11" s="5">
        <f t="shared" si="0"/>
        <v>-8</v>
      </c>
    </row>
    <row r="12" spans="2:5" x14ac:dyDescent="0.25">
      <c r="B12" s="8" t="s">
        <v>9</v>
      </c>
      <c r="C12" s="9">
        <v>33</v>
      </c>
      <c r="D12" s="9">
        <v>41</v>
      </c>
      <c r="E12" s="5">
        <f t="shared" si="0"/>
        <v>-8</v>
      </c>
    </row>
    <row r="13" spans="2:5" x14ac:dyDescent="0.25">
      <c r="B13" s="8" t="s">
        <v>10</v>
      </c>
      <c r="C13" s="9">
        <v>31</v>
      </c>
      <c r="D13" s="9">
        <v>42</v>
      </c>
      <c r="E13" s="5">
        <f t="shared" si="0"/>
        <v>-11</v>
      </c>
    </row>
    <row r="14" spans="2:5" x14ac:dyDescent="0.25">
      <c r="B14" s="8" t="s">
        <v>11</v>
      </c>
      <c r="C14" s="9">
        <v>28</v>
      </c>
      <c r="D14" s="9">
        <v>39</v>
      </c>
      <c r="E14" s="5">
        <f t="shared" si="0"/>
        <v>-11</v>
      </c>
    </row>
    <row r="17" spans="2:2" x14ac:dyDescent="0.25">
      <c r="B17" s="6" t="s">
        <v>12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4"/>
  <sheetViews>
    <sheetView showGridLines="0" workbookViewId="0"/>
  </sheetViews>
  <sheetFormatPr defaultRowHeight="15" x14ac:dyDescent="0.25"/>
  <cols>
    <col min="2" max="2" width="14" customWidth="1"/>
    <col min="3" max="4" width="9" customWidth="1"/>
  </cols>
  <sheetData>
    <row r="2" spans="2:4" ht="24" customHeight="1" x14ac:dyDescent="0.25">
      <c r="B2" s="1" t="s">
        <v>13</v>
      </c>
    </row>
    <row r="3" spans="2:4" x14ac:dyDescent="0.25">
      <c r="B3" s="2" t="s">
        <v>14</v>
      </c>
    </row>
    <row r="8" spans="2:4" ht="20.100000000000001" customHeight="1" x14ac:dyDescent="0.25">
      <c r="B8" s="3" t="s">
        <v>2</v>
      </c>
      <c r="C8" s="3" t="s">
        <v>3</v>
      </c>
      <c r="D8" s="3" t="s">
        <v>4</v>
      </c>
    </row>
    <row r="9" spans="2:4" x14ac:dyDescent="0.25">
      <c r="B9" t="str">
        <f>Makeup!B9</f>
        <v>Mascara</v>
      </c>
      <c r="C9" s="4">
        <f>Makeup!C9</f>
        <v>68</v>
      </c>
      <c r="D9" s="4">
        <f>Makeup!D9</f>
        <v>75</v>
      </c>
    </row>
    <row r="10" spans="2:4" x14ac:dyDescent="0.25">
      <c r="B10" t="str">
        <f>Makeup!B10</f>
        <v>Lipstick</v>
      </c>
      <c r="C10" s="4">
        <f>Makeup!C10</f>
        <v>49</v>
      </c>
      <c r="D10" s="4">
        <f>Makeup!D10</f>
        <v>56</v>
      </c>
    </row>
    <row r="11" spans="2:4" x14ac:dyDescent="0.25">
      <c r="B11" t="str">
        <f>Makeup!B11</f>
        <v>Foundation</v>
      </c>
      <c r="C11" s="4">
        <f>Makeup!C11</f>
        <v>34</v>
      </c>
      <c r="D11" s="4">
        <f>Makeup!D11</f>
        <v>42</v>
      </c>
    </row>
    <row r="12" spans="2:4" x14ac:dyDescent="0.25">
      <c r="B12" t="str">
        <f>Makeup!B12</f>
        <v>Powder</v>
      </c>
      <c r="C12" s="4">
        <f>Makeup!C12</f>
        <v>33</v>
      </c>
      <c r="D12" s="4">
        <f>Makeup!D12</f>
        <v>41</v>
      </c>
    </row>
    <row r="13" spans="2:4" x14ac:dyDescent="0.25">
      <c r="B13" t="str">
        <f>Makeup!B13</f>
        <v>Eyeshadow</v>
      </c>
      <c r="C13" s="4">
        <f>Makeup!C13</f>
        <v>31</v>
      </c>
      <c r="D13" s="4">
        <f>Makeup!D13</f>
        <v>42</v>
      </c>
    </row>
    <row r="14" spans="2:4" x14ac:dyDescent="0.25">
      <c r="B14" t="str">
        <f>Makeup!B14</f>
        <v>Eyeliner</v>
      </c>
      <c r="C14" s="4">
        <f>Makeup!C14</f>
        <v>28</v>
      </c>
      <c r="D14" s="4">
        <f>Makeup!D14</f>
        <v>39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33"/>
  <sheetViews>
    <sheetView showGridLines="0" workbookViewId="0">
      <selection activeCell="V36" sqref="V36"/>
    </sheetView>
  </sheetViews>
  <sheetFormatPr defaultRowHeight="15" x14ac:dyDescent="0.25"/>
  <cols>
    <col min="2" max="2" width="14" customWidth="1"/>
    <col min="3" max="4" width="9" customWidth="1"/>
    <col min="5" max="6" width="6" customWidth="1"/>
    <col min="7" max="7" width="3" customWidth="1"/>
    <col min="8" max="9" width="8" customWidth="1"/>
    <col min="10" max="10" width="3" customWidth="1"/>
    <col min="11" max="12" width="8" customWidth="1"/>
  </cols>
  <sheetData>
    <row r="2" spans="2:6" ht="24" customHeight="1" x14ac:dyDescent="0.25">
      <c r="B2" s="1" t="s">
        <v>15</v>
      </c>
    </row>
    <row r="3" spans="2:6" x14ac:dyDescent="0.25">
      <c r="B3" s="2" t="s">
        <v>16</v>
      </c>
    </row>
    <row r="8" spans="2:6" ht="20.100000000000001" customHeight="1" x14ac:dyDescent="0.25">
      <c r="B8" s="3" t="s">
        <v>2</v>
      </c>
      <c r="C8" s="3" t="s">
        <v>3</v>
      </c>
      <c r="D8" s="3" t="s">
        <v>4</v>
      </c>
      <c r="E8" s="3" t="s">
        <v>17</v>
      </c>
      <c r="F8" s="3" t="s">
        <v>18</v>
      </c>
    </row>
    <row r="9" spans="2:6" x14ac:dyDescent="0.25">
      <c r="B9" t="str">
        <f>Makeup!B9</f>
        <v>Mascara</v>
      </c>
      <c r="C9" s="4">
        <f>Makeup!C9</f>
        <v>68</v>
      </c>
      <c r="D9" s="4">
        <f>Makeup!D9</f>
        <v>75</v>
      </c>
      <c r="E9">
        <v>1</v>
      </c>
      <c r="F9">
        <v>0</v>
      </c>
    </row>
    <row r="10" spans="2:6" x14ac:dyDescent="0.25">
      <c r="B10" t="str">
        <f>Makeup!B10</f>
        <v>Lipstick</v>
      </c>
      <c r="C10" s="4">
        <f>Makeup!C10</f>
        <v>49</v>
      </c>
      <c r="D10" s="4">
        <f>Makeup!D10</f>
        <v>56</v>
      </c>
      <c r="E10">
        <v>2</v>
      </c>
      <c r="F10">
        <v>0</v>
      </c>
    </row>
    <row r="11" spans="2:6" x14ac:dyDescent="0.25">
      <c r="B11" t="str">
        <f>Makeup!B11</f>
        <v>Foundation</v>
      </c>
      <c r="C11" s="4">
        <f>Makeup!C11</f>
        <v>34</v>
      </c>
      <c r="D11" s="4">
        <f>Makeup!D11</f>
        <v>42</v>
      </c>
      <c r="E11">
        <v>3</v>
      </c>
      <c r="F11">
        <v>0</v>
      </c>
    </row>
    <row r="12" spans="2:6" x14ac:dyDescent="0.25">
      <c r="B12" t="str">
        <f>Makeup!B12</f>
        <v>Powder</v>
      </c>
      <c r="C12" s="4">
        <f>Makeup!C12</f>
        <v>33</v>
      </c>
      <c r="D12" s="4">
        <f>Makeup!D12</f>
        <v>41</v>
      </c>
      <c r="E12">
        <v>4</v>
      </c>
      <c r="F12">
        <v>0</v>
      </c>
    </row>
    <row r="13" spans="2:6" x14ac:dyDescent="0.25">
      <c r="B13" t="str">
        <f>Makeup!B13</f>
        <v>Eyeshadow</v>
      </c>
      <c r="C13" s="4">
        <f>Makeup!C13</f>
        <v>31</v>
      </c>
      <c r="D13" s="4">
        <f>Makeup!D13</f>
        <v>42</v>
      </c>
      <c r="E13">
        <v>5</v>
      </c>
      <c r="F13">
        <v>0</v>
      </c>
    </row>
    <row r="14" spans="2:6" x14ac:dyDescent="0.25">
      <c r="B14" t="str">
        <f>Makeup!B14</f>
        <v>Eyeliner</v>
      </c>
      <c r="C14" s="4">
        <f>Makeup!C14</f>
        <v>28</v>
      </c>
      <c r="D14" s="4">
        <f>Makeup!D14</f>
        <v>39</v>
      </c>
      <c r="E14">
        <v>6</v>
      </c>
      <c r="F14">
        <v>0</v>
      </c>
    </row>
    <row r="16" spans="2:6" x14ac:dyDescent="0.25">
      <c r="B16" s="6" t="s">
        <v>19</v>
      </c>
    </row>
    <row r="17" spans="7:11" x14ac:dyDescent="0.25">
      <c r="G17">
        <v>0</v>
      </c>
      <c r="H17">
        <v>1</v>
      </c>
      <c r="J17">
        <f>D9</f>
        <v>75</v>
      </c>
      <c r="K17">
        <v>1</v>
      </c>
    </row>
    <row r="18" spans="7:11" x14ac:dyDescent="0.25">
      <c r="G18">
        <v>80</v>
      </c>
      <c r="H18">
        <v>1</v>
      </c>
      <c r="J18">
        <f>C9</f>
        <v>68</v>
      </c>
      <c r="K18">
        <v>1</v>
      </c>
    </row>
    <row r="20" spans="7:11" x14ac:dyDescent="0.25">
      <c r="G20">
        <v>0</v>
      </c>
      <c r="H20">
        <v>2</v>
      </c>
      <c r="J20">
        <f>D10</f>
        <v>56</v>
      </c>
      <c r="K20">
        <v>2</v>
      </c>
    </row>
    <row r="21" spans="7:11" x14ac:dyDescent="0.25">
      <c r="G21">
        <v>80</v>
      </c>
      <c r="H21">
        <v>2</v>
      </c>
      <c r="J21">
        <f>C10</f>
        <v>49</v>
      </c>
      <c r="K21">
        <v>2</v>
      </c>
    </row>
    <row r="23" spans="7:11" x14ac:dyDescent="0.25">
      <c r="G23">
        <v>0</v>
      </c>
      <c r="H23">
        <v>3</v>
      </c>
      <c r="J23">
        <f>D11</f>
        <v>42</v>
      </c>
      <c r="K23">
        <v>3</v>
      </c>
    </row>
    <row r="24" spans="7:11" x14ac:dyDescent="0.25">
      <c r="G24">
        <v>80</v>
      </c>
      <c r="H24">
        <v>3</v>
      </c>
      <c r="J24">
        <f>C11</f>
        <v>34</v>
      </c>
      <c r="K24">
        <v>3</v>
      </c>
    </row>
    <row r="26" spans="7:11" x14ac:dyDescent="0.25">
      <c r="G26">
        <v>0</v>
      </c>
      <c r="H26">
        <v>4</v>
      </c>
      <c r="J26">
        <f>D12</f>
        <v>41</v>
      </c>
      <c r="K26">
        <v>4</v>
      </c>
    </row>
    <row r="27" spans="7:11" x14ac:dyDescent="0.25">
      <c r="G27">
        <v>80</v>
      </c>
      <c r="H27">
        <v>4</v>
      </c>
      <c r="J27">
        <f>C12</f>
        <v>33</v>
      </c>
      <c r="K27">
        <v>4</v>
      </c>
    </row>
    <row r="29" spans="7:11" x14ac:dyDescent="0.25">
      <c r="G29">
        <v>0</v>
      </c>
      <c r="H29">
        <v>5</v>
      </c>
      <c r="J29">
        <f>D13</f>
        <v>42</v>
      </c>
      <c r="K29">
        <v>5</v>
      </c>
    </row>
    <row r="30" spans="7:11" x14ac:dyDescent="0.25">
      <c r="G30">
        <v>80</v>
      </c>
      <c r="H30">
        <v>5</v>
      </c>
      <c r="J30">
        <f>C13</f>
        <v>31</v>
      </c>
      <c r="K30">
        <v>5</v>
      </c>
    </row>
    <row r="32" spans="7:11" x14ac:dyDescent="0.25">
      <c r="G32">
        <v>0</v>
      </c>
      <c r="H32">
        <v>6</v>
      </c>
      <c r="J32">
        <f>D14</f>
        <v>39</v>
      </c>
      <c r="K32">
        <v>6</v>
      </c>
    </row>
    <row r="33" spans="7:11" x14ac:dyDescent="0.25">
      <c r="G33">
        <v>80</v>
      </c>
      <c r="H33">
        <v>6</v>
      </c>
      <c r="J33">
        <f>C14</f>
        <v>28</v>
      </c>
      <c r="K33">
        <v>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6"/>
  <sheetViews>
    <sheetView showGridLines="0" topLeftCell="A3" zoomScale="85" zoomScaleNormal="85" workbookViewId="0">
      <selection activeCell="N41" sqref="N41"/>
    </sheetView>
  </sheetViews>
  <sheetFormatPr defaultRowHeight="15" x14ac:dyDescent="0.25"/>
  <cols>
    <col min="2" max="2" width="14" customWidth="1"/>
    <col min="3" max="4" width="9" customWidth="1"/>
    <col min="5" max="5" width="3" customWidth="1"/>
    <col min="6" max="6" width="18" customWidth="1"/>
  </cols>
  <sheetData>
    <row r="2" spans="2:6" ht="24" customHeight="1" x14ac:dyDescent="0.25">
      <c r="B2" s="1" t="s">
        <v>20</v>
      </c>
    </row>
    <row r="3" spans="2:6" x14ac:dyDescent="0.25">
      <c r="B3" s="2" t="s">
        <v>21</v>
      </c>
    </row>
    <row r="8" spans="2:6" ht="20.100000000000001" customHeight="1" x14ac:dyDescent="0.25">
      <c r="B8" s="3" t="s">
        <v>2</v>
      </c>
      <c r="C8" s="3" t="s">
        <v>4</v>
      </c>
      <c r="D8" s="3" t="s">
        <v>3</v>
      </c>
    </row>
    <row r="9" spans="2:6" x14ac:dyDescent="0.25">
      <c r="B9" t="str">
        <f>Makeup!B9</f>
        <v>Mascara</v>
      </c>
      <c r="C9" s="4">
        <f>Makeup!D9</f>
        <v>75</v>
      </c>
      <c r="D9" s="4">
        <f>Makeup!C9</f>
        <v>68</v>
      </c>
      <c r="F9" s="7" t="str">
        <f t="shared" ref="F9:F14" si="0">TEXT(D9,"0")&amp;"% "&amp;B9</f>
        <v>68% Mascara</v>
      </c>
    </row>
    <row r="10" spans="2:6" x14ac:dyDescent="0.25">
      <c r="B10" t="str">
        <f>Makeup!B10</f>
        <v>Lipstick</v>
      </c>
      <c r="C10" s="4">
        <f>Makeup!D10</f>
        <v>56</v>
      </c>
      <c r="D10" s="4">
        <f>Makeup!C10</f>
        <v>49</v>
      </c>
      <c r="F10" s="7" t="str">
        <f t="shared" si="0"/>
        <v>49% Lipstick</v>
      </c>
    </row>
    <row r="11" spans="2:6" x14ac:dyDescent="0.25">
      <c r="B11" t="str">
        <f>Makeup!B11</f>
        <v>Foundation</v>
      </c>
      <c r="C11" s="4">
        <f>Makeup!D11</f>
        <v>42</v>
      </c>
      <c r="D11" s="4">
        <f>Makeup!C11</f>
        <v>34</v>
      </c>
      <c r="F11" s="7" t="str">
        <f t="shared" si="0"/>
        <v>34% Foundation</v>
      </c>
    </row>
    <row r="12" spans="2:6" x14ac:dyDescent="0.25">
      <c r="B12" t="str">
        <f>Makeup!B12</f>
        <v>Powder</v>
      </c>
      <c r="C12" s="4">
        <f>Makeup!D12</f>
        <v>41</v>
      </c>
      <c r="D12" s="4">
        <f>Makeup!C12</f>
        <v>33</v>
      </c>
      <c r="F12" s="7" t="str">
        <f t="shared" si="0"/>
        <v>33% Powder</v>
      </c>
    </row>
    <row r="13" spans="2:6" x14ac:dyDescent="0.25">
      <c r="B13" t="str">
        <f>Makeup!B13</f>
        <v>Eyeshadow</v>
      </c>
      <c r="C13" s="4">
        <f>Makeup!D13</f>
        <v>42</v>
      </c>
      <c r="D13" s="4">
        <f>Makeup!C13</f>
        <v>31</v>
      </c>
      <c r="F13" s="7" t="str">
        <f t="shared" si="0"/>
        <v>31% Eyeshadow</v>
      </c>
    </row>
    <row r="14" spans="2:6" x14ac:dyDescent="0.25">
      <c r="B14" t="str">
        <f>Makeup!B14</f>
        <v>Eyeliner</v>
      </c>
      <c r="C14" s="4">
        <f>Makeup!D14</f>
        <v>39</v>
      </c>
      <c r="D14" s="4">
        <f>Makeup!C14</f>
        <v>28</v>
      </c>
      <c r="F14" s="7" t="str">
        <f t="shared" si="0"/>
        <v>28% Eyeliner</v>
      </c>
    </row>
    <row r="16" spans="2:6" x14ac:dyDescent="0.25">
      <c r="B16" s="6" t="s">
        <v>22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6"/>
  <sheetViews>
    <sheetView showGridLines="0" zoomScaleNormal="100" workbookViewId="0">
      <selection activeCell="AA10" sqref="AA10"/>
    </sheetView>
  </sheetViews>
  <sheetFormatPr defaultRowHeight="15" x14ac:dyDescent="0.25"/>
  <cols>
    <col min="2" max="2" width="14" customWidth="1"/>
    <col min="3" max="4" width="9" customWidth="1"/>
  </cols>
  <sheetData>
    <row r="2" spans="2:4" ht="24" customHeight="1" x14ac:dyDescent="0.25">
      <c r="B2" s="1" t="s">
        <v>23</v>
      </c>
    </row>
    <row r="3" spans="2:4" x14ac:dyDescent="0.25">
      <c r="B3" s="2" t="s">
        <v>24</v>
      </c>
    </row>
    <row r="8" spans="2:4" ht="20.100000000000001" customHeight="1" x14ac:dyDescent="0.25">
      <c r="B8" s="3" t="s">
        <v>2</v>
      </c>
      <c r="C8" s="3" t="s">
        <v>3</v>
      </c>
      <c r="D8" s="3" t="s">
        <v>4</v>
      </c>
    </row>
    <row r="9" spans="2:4" x14ac:dyDescent="0.25">
      <c r="B9" t="str">
        <f>Makeup!B9</f>
        <v>Mascara</v>
      </c>
      <c r="C9" s="4">
        <f>Makeup!C9</f>
        <v>68</v>
      </c>
      <c r="D9" s="4">
        <f>Makeup!D9</f>
        <v>75</v>
      </c>
    </row>
    <row r="10" spans="2:4" x14ac:dyDescent="0.25">
      <c r="B10" t="str">
        <f>Makeup!B10</f>
        <v>Lipstick</v>
      </c>
      <c r="C10" s="4">
        <f>Makeup!C10</f>
        <v>49</v>
      </c>
      <c r="D10" s="4">
        <f>Makeup!D10</f>
        <v>56</v>
      </c>
    </row>
    <row r="11" spans="2:4" x14ac:dyDescent="0.25">
      <c r="B11" t="str">
        <f>Makeup!B11</f>
        <v>Foundation</v>
      </c>
      <c r="C11" s="4">
        <f>Makeup!C11</f>
        <v>34</v>
      </c>
      <c r="D11" s="4">
        <f>Makeup!D11</f>
        <v>42</v>
      </c>
    </row>
    <row r="12" spans="2:4" x14ac:dyDescent="0.25">
      <c r="B12" t="str">
        <f>Makeup!B12</f>
        <v>Powder</v>
      </c>
      <c r="C12" s="4">
        <f>Makeup!C12</f>
        <v>33</v>
      </c>
      <c r="D12" s="4">
        <f>Makeup!D12</f>
        <v>41</v>
      </c>
    </row>
    <row r="13" spans="2:4" x14ac:dyDescent="0.25">
      <c r="B13" t="str">
        <f>Makeup!B13</f>
        <v>Eyeshadow</v>
      </c>
      <c r="C13" s="4">
        <f>Makeup!C13</f>
        <v>31</v>
      </c>
      <c r="D13" s="4">
        <f>Makeup!D13</f>
        <v>42</v>
      </c>
    </row>
    <row r="14" spans="2:4" x14ac:dyDescent="0.25">
      <c r="B14" t="str">
        <f>Makeup!B14</f>
        <v>Eyeliner</v>
      </c>
      <c r="C14" s="4">
        <f>Makeup!C14</f>
        <v>28</v>
      </c>
      <c r="D14" s="4">
        <f>Makeup!D14</f>
        <v>39</v>
      </c>
    </row>
    <row r="16" spans="2:4" x14ac:dyDescent="0.25">
      <c r="B16" s="6" t="s">
        <v>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Makeup_msg</vt:lpstr>
      <vt:lpstr>Makeup</vt:lpstr>
      <vt:lpstr>Vertical</vt:lpstr>
      <vt:lpstr>Dot plot</vt:lpstr>
      <vt:lpstr>Slope</vt:lpstr>
      <vt:lpstr>Wrong chart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2026-09-14T06:15:32Z</dcterms:created>
  <dcterms:modified xsi:type="dcterms:W3CDTF">2026-09-14T16:12:02Z</dcterms:modified>
</cp:coreProperties>
</file>