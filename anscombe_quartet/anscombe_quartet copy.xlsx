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com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ptos"/>
      <b val="1"/>
      <color rgb="00262A33"/>
      <sz val="16"/>
    </font>
    <font>
      <name val="Aptos"/>
      <color rgb="00595959"/>
      <sz val="11"/>
    </font>
    <font>
      <name val="Aptos"/>
      <b val="1"/>
      <color rgb="00FFFFFF"/>
      <sz val="11"/>
    </font>
    <font>
      <name val="Aptos"/>
      <color rgb="00262A33"/>
      <sz val="11"/>
    </font>
    <font>
      <name val="Aptos"/>
      <i val="1"/>
      <color rgb="00595959"/>
      <sz val="10"/>
    </font>
    <font>
      <name val="Aptos"/>
      <b val="1"/>
      <color rgb="00262A33"/>
      <sz val="11"/>
    </font>
    <font>
      <name val="Aptos"/>
      <color rgb="008C8C8C"/>
      <sz val="9"/>
    </font>
  </fonts>
  <fills count="3">
    <fill>
      <patternFill/>
    </fill>
    <fill>
      <patternFill patternType="gray125"/>
    </fill>
    <fill>
      <patternFill patternType="solid">
        <fgColor rgb="000F54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right"/>
    </xf>
    <xf numFmtId="0" fontId="5" fillId="0" borderId="0" pivotButton="0" quotePrefix="0" xfId="0"/>
    <xf numFmtId="164" fontId="4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A line genuinely fits Dataset I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Noisy, but linear  ·  n = 11  ·  R² = 0,67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scatterChart>
        <scatterStyle val="marker"/>
        <ser>
          <idx val="0"/>
          <order val="0"/>
          <tx>
            <v>Dataset 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F5499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9525">
                <a:solidFill>
                  <a:srgbClr val="8C8C8C"/>
                </a:solidFill>
                <a:prstDash val="solid"/>
              </a:ln>
            </spPr>
            <trendlineType val="linear"/>
            <dispRSqr val="0"/>
            <dispEq val="0"/>
          </trendline>
          <xVal>
            <numRef>
              <f>'Anscombe'!$B$9:$B$19</f>
            </numRef>
          </xVal>
          <yVal>
            <numRef>
              <f>'Anscombe'!$C$9:$C$19</f>
            </numRef>
          </yVal>
        </ser>
        <axId val="10"/>
        <axId val="20"/>
      </scatterChart>
      <valAx>
        <axId val="10"/>
        <scaling>
          <orientation val="minMax"/>
          <max val="20"/>
          <min val="2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x₁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2"/>
      </valAx>
      <valAx>
        <axId val="20"/>
        <scaling>
          <orientation val="minMax"/>
          <max val="14"/>
          <min val="2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y₁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Dataset II is a curve, not a line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A perfect relationship, just not a straight one  ·  n = 11  ·  R² = 0,67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scatterChart>
        <scatterStyle val="marker"/>
        <ser>
          <idx val="0"/>
          <order val="0"/>
          <tx>
            <v>Dataset II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F5499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9525">
                <a:solidFill>
                  <a:srgbClr val="8C8C8C"/>
                </a:solidFill>
                <a:prstDash val="solid"/>
              </a:ln>
            </spPr>
            <trendlineType val="linear"/>
            <dispRSqr val="0"/>
            <dispEq val="0"/>
          </trendline>
          <xVal>
            <numRef>
              <f>'Anscombe'!$D$9:$D$19</f>
            </numRef>
          </xVal>
          <yVal>
            <numRef>
              <f>'Anscombe'!$E$9:$E$19</f>
            </numRef>
          </yVal>
        </ser>
        <axId val="10"/>
        <axId val="20"/>
      </scatterChart>
      <valAx>
        <axId val="10"/>
        <scaling>
          <orientation val="minMax"/>
          <max val="20"/>
          <min val="2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x₂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2"/>
      </valAx>
      <valAx>
        <axId val="20"/>
        <scaling>
          <orientation val="minMax"/>
          <max val="14"/>
          <min val="2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y₂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One outlier tilts Dataset III's line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Ten collinear points plus one high y  ·  n = 11  ·  R² = 0,67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scatterChart>
        <scatterStyle val="marker"/>
        <ser>
          <idx val="0"/>
          <order val="0"/>
          <tx>
            <v>Dataset III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F5499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9525">
                <a:solidFill>
                  <a:srgbClr val="8C8C8C"/>
                </a:solidFill>
                <a:prstDash val="solid"/>
              </a:ln>
            </spPr>
            <trendlineType val="linear"/>
            <dispRSqr val="0"/>
            <dispEq val="0"/>
          </trendline>
          <xVal>
            <numRef>
              <f>'Anscombe'!$F$9:$F$19</f>
            </numRef>
          </xVal>
          <yVal>
            <numRef>
              <f>'Anscombe'!$G$9:$G$19</f>
            </numRef>
          </yVal>
        </ser>
        <axId val="10"/>
        <axId val="20"/>
      </scatterChart>
      <valAx>
        <axId val="10"/>
        <scaling>
          <orientation val="minMax"/>
          <max val="20"/>
          <min val="2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x₃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2"/>
      </valAx>
      <valAx>
        <axId val="20"/>
        <scaling>
          <orientation val="minMax"/>
          <max val="14"/>
          <min val="2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y₃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One point invents Dataset IV's line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x is 8 for ten of the eleven points  ·  n = 11  ·  R² = 0,67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scatterChart>
        <scatterStyle val="marker"/>
        <ser>
          <idx val="0"/>
          <order val="0"/>
          <tx>
            <v>Dataset IV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F5499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9525">
                <a:solidFill>
                  <a:srgbClr val="8C8C8C"/>
                </a:solidFill>
                <a:prstDash val="solid"/>
              </a:ln>
            </spPr>
            <trendlineType val="linear"/>
            <dispRSqr val="0"/>
            <dispEq val="0"/>
          </trendline>
          <xVal>
            <numRef>
              <f>'Anscombe'!$H$9:$H$19</f>
            </numRef>
          </xVal>
          <yVal>
            <numRef>
              <f>'Anscombe'!$I$9:$I$19</f>
            </numRef>
          </yVal>
        </ser>
        <axId val="10"/>
        <axId val="20"/>
      </scatterChart>
      <valAx>
        <axId val="10"/>
        <scaling>
          <orientation val="minMax"/>
          <max val="20"/>
          <min val="2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x₄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2"/>
      </valAx>
      <valAx>
        <axId val="20"/>
        <scaling>
          <orientation val="minMax"/>
          <max val="14"/>
          <min val="2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y₄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7</row>
      <rowOff>0</rowOff>
    </from>
    <ext cx="4572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7</row>
      <rowOff>0</rowOff>
    </from>
    <ext cx="4572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23</row>
      <rowOff>0</rowOff>
    </from>
    <ext cx="4572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23</row>
      <rowOff>0</rowOff>
    </from>
    <ext cx="4572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2" ht="24" customHeight="1">
      <c r="B2" s="1" t="inlineStr">
        <is>
          <t>Four datasets with the same statistics look nothing alike</t>
        </is>
      </c>
    </row>
    <row r="3">
      <c r="B3" s="2" t="inlineStr">
        <is>
          <t>Anscombe's quartet · n = 11 each · identical mean, variance, correlation and fitted line to 2 dp</t>
        </is>
      </c>
    </row>
    <row r="8" ht="20" customHeight="1">
      <c r="B8" s="3" t="inlineStr">
        <is>
          <t>x₁</t>
        </is>
      </c>
      <c r="C8" s="3" t="inlineStr">
        <is>
          <t>y₁</t>
        </is>
      </c>
      <c r="D8" s="3" t="inlineStr">
        <is>
          <t>x₂</t>
        </is>
      </c>
      <c r="E8" s="3" t="inlineStr">
        <is>
          <t>y₂</t>
        </is>
      </c>
      <c r="F8" s="3" t="inlineStr">
        <is>
          <t>x₃</t>
        </is>
      </c>
      <c r="G8" s="3" t="inlineStr">
        <is>
          <t>y₃</t>
        </is>
      </c>
      <c r="H8" s="3" t="inlineStr">
        <is>
          <t>x₄</t>
        </is>
      </c>
      <c r="I8" s="3" t="inlineStr">
        <is>
          <t>y₄</t>
        </is>
      </c>
    </row>
    <row r="9">
      <c r="B9" s="4" t="n">
        <v>10</v>
      </c>
      <c r="C9" s="4" t="n">
        <v>8.039999999999999</v>
      </c>
      <c r="D9" s="4" t="n">
        <v>10</v>
      </c>
      <c r="E9" s="4" t="n">
        <v>9.140000000000001</v>
      </c>
      <c r="F9" s="4" t="n">
        <v>10</v>
      </c>
      <c r="G9" s="4" t="n">
        <v>7.46</v>
      </c>
      <c r="H9" s="4" t="n">
        <v>8</v>
      </c>
      <c r="I9" s="4" t="n">
        <v>6.58</v>
      </c>
    </row>
    <row r="10">
      <c r="B10" s="4" t="n">
        <v>8</v>
      </c>
      <c r="C10" s="4" t="n">
        <v>6.95</v>
      </c>
      <c r="D10" s="4" t="n">
        <v>8</v>
      </c>
      <c r="E10" s="4" t="n">
        <v>8.140000000000001</v>
      </c>
      <c r="F10" s="4" t="n">
        <v>8</v>
      </c>
      <c r="G10" s="4" t="n">
        <v>6.77</v>
      </c>
      <c r="H10" s="4" t="n">
        <v>8</v>
      </c>
      <c r="I10" s="4" t="n">
        <v>5.76</v>
      </c>
    </row>
    <row r="11">
      <c r="B11" s="4" t="n">
        <v>13</v>
      </c>
      <c r="C11" s="4" t="n">
        <v>7.58</v>
      </c>
      <c r="D11" s="4" t="n">
        <v>13</v>
      </c>
      <c r="E11" s="4" t="n">
        <v>8.74</v>
      </c>
      <c r="F11" s="4" t="n">
        <v>13</v>
      </c>
      <c r="G11" s="4" t="n">
        <v>12.74</v>
      </c>
      <c r="H11" s="4" t="n">
        <v>8</v>
      </c>
      <c r="I11" s="4" t="n">
        <v>7.71</v>
      </c>
    </row>
    <row r="12">
      <c r="B12" s="4" t="n">
        <v>9</v>
      </c>
      <c r="C12" s="4" t="n">
        <v>8.81</v>
      </c>
      <c r="D12" s="4" t="n">
        <v>9</v>
      </c>
      <c r="E12" s="4" t="n">
        <v>8.77</v>
      </c>
      <c r="F12" s="4" t="n">
        <v>9</v>
      </c>
      <c r="G12" s="4" t="n">
        <v>7.11</v>
      </c>
      <c r="H12" s="4" t="n">
        <v>8</v>
      </c>
      <c r="I12" s="4" t="n">
        <v>8.84</v>
      </c>
    </row>
    <row r="13">
      <c r="B13" s="4" t="n">
        <v>11</v>
      </c>
      <c r="C13" s="4" t="n">
        <v>8.33</v>
      </c>
      <c r="D13" s="4" t="n">
        <v>11</v>
      </c>
      <c r="E13" s="4" t="n">
        <v>9.26</v>
      </c>
      <c r="F13" s="4" t="n">
        <v>11</v>
      </c>
      <c r="G13" s="4" t="n">
        <v>7.81</v>
      </c>
      <c r="H13" s="4" t="n">
        <v>8</v>
      </c>
      <c r="I13" s="4" t="n">
        <v>8.470000000000001</v>
      </c>
    </row>
    <row r="14">
      <c r="B14" s="4" t="n">
        <v>14</v>
      </c>
      <c r="C14" s="4" t="n">
        <v>9.960000000000001</v>
      </c>
      <c r="D14" s="4" t="n">
        <v>14</v>
      </c>
      <c r="E14" s="4" t="n">
        <v>8.1</v>
      </c>
      <c r="F14" s="4" t="n">
        <v>14</v>
      </c>
      <c r="G14" s="4" t="n">
        <v>8.84</v>
      </c>
      <c r="H14" s="4" t="n">
        <v>8</v>
      </c>
      <c r="I14" s="4" t="n">
        <v>7.04</v>
      </c>
    </row>
    <row r="15">
      <c r="B15" s="4" t="n">
        <v>6</v>
      </c>
      <c r="C15" s="4" t="n">
        <v>7.24</v>
      </c>
      <c r="D15" s="4" t="n">
        <v>6</v>
      </c>
      <c r="E15" s="4" t="n">
        <v>6.13</v>
      </c>
      <c r="F15" s="4" t="n">
        <v>6</v>
      </c>
      <c r="G15" s="4" t="n">
        <v>6.08</v>
      </c>
      <c r="H15" s="4" t="n">
        <v>8</v>
      </c>
      <c r="I15" s="4" t="n">
        <v>5.25</v>
      </c>
    </row>
    <row r="16">
      <c r="B16" s="4" t="n">
        <v>4</v>
      </c>
      <c r="C16" s="4" t="n">
        <v>4.26</v>
      </c>
      <c r="D16" s="4" t="n">
        <v>4</v>
      </c>
      <c r="E16" s="4" t="n">
        <v>3.1</v>
      </c>
      <c r="F16" s="4" t="n">
        <v>4</v>
      </c>
      <c r="G16" s="4" t="n">
        <v>5.39</v>
      </c>
      <c r="H16" s="4" t="n">
        <v>19</v>
      </c>
      <c r="I16" s="4" t="n">
        <v>12.5</v>
      </c>
    </row>
    <row r="17">
      <c r="B17" s="4" t="n">
        <v>12</v>
      </c>
      <c r="C17" s="4" t="n">
        <v>10.84</v>
      </c>
      <c r="D17" s="4" t="n">
        <v>12</v>
      </c>
      <c r="E17" s="4" t="n">
        <v>9.130000000000001</v>
      </c>
      <c r="F17" s="4" t="n">
        <v>12</v>
      </c>
      <c r="G17" s="4" t="n">
        <v>8.15</v>
      </c>
      <c r="H17" s="4" t="n">
        <v>8</v>
      </c>
      <c r="I17" s="4" t="n">
        <v>5.56</v>
      </c>
    </row>
    <row r="18">
      <c r="B18" s="4" t="n">
        <v>7</v>
      </c>
      <c r="C18" s="4" t="n">
        <v>4.82</v>
      </c>
      <c r="D18" s="4" t="n">
        <v>7</v>
      </c>
      <c r="E18" s="4" t="n">
        <v>7.26</v>
      </c>
      <c r="F18" s="4" t="n">
        <v>7</v>
      </c>
      <c r="G18" s="4" t="n">
        <v>6.42</v>
      </c>
      <c r="H18" s="4" t="n">
        <v>8</v>
      </c>
      <c r="I18" s="4" t="n">
        <v>7.91</v>
      </c>
    </row>
    <row r="19">
      <c r="B19" s="4" t="n">
        <v>5</v>
      </c>
      <c r="C19" s="4" t="n">
        <v>5.68</v>
      </c>
      <c r="D19" s="4" t="n">
        <v>5</v>
      </c>
      <c r="E19" s="4" t="n">
        <v>4.74</v>
      </c>
      <c r="F19" s="4" t="n">
        <v>5</v>
      </c>
      <c r="G19" s="4" t="n">
        <v>5.73</v>
      </c>
      <c r="H19" s="4" t="n">
        <v>8</v>
      </c>
      <c r="I19" s="4" t="n">
        <v>6.89</v>
      </c>
    </row>
    <row r="21">
      <c r="B21" s="5" t="inlineStr">
        <is>
          <t>Live formulas over the table above — edit a y value and every number in this block moves.</t>
        </is>
      </c>
    </row>
    <row r="22" ht="20" customHeight="1">
      <c r="B22" s="3" t="inlineStr">
        <is>
          <t>Statistic</t>
        </is>
      </c>
      <c r="C22" s="3" t="inlineStr">
        <is>
          <t>I</t>
        </is>
      </c>
      <c r="D22" s="3" t="inlineStr">
        <is>
          <t>II</t>
        </is>
      </c>
      <c r="E22" s="3" t="inlineStr">
        <is>
          <t>III</t>
        </is>
      </c>
      <c r="F22" s="3" t="inlineStr">
        <is>
          <t>IV</t>
        </is>
      </c>
    </row>
    <row r="23">
      <c r="B23" s="2" t="inlineStr">
        <is>
          <t>Mean of x</t>
        </is>
      </c>
      <c r="C23" s="6">
        <f>AVERAGE(B9:B19)</f>
        <v/>
      </c>
      <c r="D23" s="6">
        <f>AVERAGE(D9:D19)</f>
        <v/>
      </c>
      <c r="E23" s="6">
        <f>AVERAGE(F9:F19)</f>
        <v/>
      </c>
      <c r="F23" s="6">
        <f>AVERAGE(H9:H19)</f>
        <v/>
      </c>
    </row>
    <row r="24">
      <c r="B24" s="2" t="inlineStr">
        <is>
          <t>Mean of y</t>
        </is>
      </c>
      <c r="C24" s="6">
        <f>AVERAGE(C9:C19)</f>
        <v/>
      </c>
      <c r="D24" s="6">
        <f>AVERAGE(E9:E19)</f>
        <v/>
      </c>
      <c r="E24" s="6">
        <f>AVERAGE(G9:G19)</f>
        <v/>
      </c>
      <c r="F24" s="6">
        <f>AVERAGE(I9:I19)</f>
        <v/>
      </c>
    </row>
    <row r="25">
      <c r="B25" s="2" t="inlineStr">
        <is>
          <t>Sample variance of x</t>
        </is>
      </c>
      <c r="C25" s="6">
        <f>VAR(B9:B19)</f>
        <v/>
      </c>
      <c r="D25" s="6">
        <f>VAR(D9:D19)</f>
        <v/>
      </c>
      <c r="E25" s="6">
        <f>VAR(F9:F19)</f>
        <v/>
      </c>
      <c r="F25" s="6">
        <f>VAR(H9:H19)</f>
        <v/>
      </c>
    </row>
    <row r="26">
      <c r="B26" s="2" t="inlineStr">
        <is>
          <t>Sample variance of y</t>
        </is>
      </c>
      <c r="C26" s="6">
        <f>VAR(C9:C19)</f>
        <v/>
      </c>
      <c r="D26" s="6">
        <f>VAR(E9:E19)</f>
        <v/>
      </c>
      <c r="E26" s="6">
        <f>VAR(G9:G19)</f>
        <v/>
      </c>
      <c r="F26" s="6">
        <f>VAR(I9:I19)</f>
        <v/>
      </c>
    </row>
    <row r="27">
      <c r="B27" s="2" t="inlineStr">
        <is>
          <t>Correlation x·y</t>
        </is>
      </c>
      <c r="C27" s="6">
        <f>CORREL(B9:B19,C9:C19)</f>
        <v/>
      </c>
      <c r="D27" s="6">
        <f>CORREL(D9:D19,E9:E19)</f>
        <v/>
      </c>
      <c r="E27" s="6">
        <f>CORREL(F9:F19,G9:G19)</f>
        <v/>
      </c>
      <c r="F27" s="6">
        <f>CORREL(H9:H19,I9:I19)</f>
        <v/>
      </c>
    </row>
    <row r="28">
      <c r="B28" s="2" t="inlineStr">
        <is>
          <t>Slope</t>
        </is>
      </c>
      <c r="C28" s="6">
        <f>SLOPE(C9:C19,B9:B19)</f>
        <v/>
      </c>
      <c r="D28" s="6">
        <f>SLOPE(E9:E19,D9:D19)</f>
        <v/>
      </c>
      <c r="E28" s="6">
        <f>SLOPE(G9:G19,F9:F19)</f>
        <v/>
      </c>
      <c r="F28" s="6">
        <f>SLOPE(I9:I19,H9:H19)</f>
        <v/>
      </c>
    </row>
    <row r="29">
      <c r="B29" s="2" t="inlineStr">
        <is>
          <t>Intercept</t>
        </is>
      </c>
      <c r="C29" s="6">
        <f>INTERCEPT(C9:C19,B9:B19)</f>
        <v/>
      </c>
      <c r="D29" s="6">
        <f>INTERCEPT(E9:E19,D9:D19)</f>
        <v/>
      </c>
      <c r="E29" s="6">
        <f>INTERCEPT(G9:G19,F9:F19)</f>
        <v/>
      </c>
      <c r="F29" s="6">
        <f>INTERCEPT(I9:I19,H9:H19)</f>
        <v/>
      </c>
    </row>
    <row r="30">
      <c r="B30" s="2" t="inlineStr">
        <is>
          <t>R²</t>
        </is>
      </c>
      <c r="C30" s="7">
        <f>RSQ(C9:C19,B9:B19)</f>
        <v/>
      </c>
      <c r="D30" s="7">
        <f>RSQ(E9:E19,D9:D19)</f>
        <v/>
      </c>
      <c r="E30" s="7">
        <f>RSQ(G9:G19,F9:F19)</f>
        <v/>
      </c>
      <c r="F30" s="7">
        <f>RSQ(I9:I19,H9:H19)</f>
        <v/>
      </c>
    </row>
    <row r="31">
      <c r="B31" s="2" t="inlineStr">
        <is>
          <t>n</t>
        </is>
      </c>
      <c r="C31" s="8">
        <f>COUNT(C9:C19)</f>
        <v/>
      </c>
      <c r="D31" s="8">
        <f>COUNT(E9:E19)</f>
        <v/>
      </c>
      <c r="E31" s="8">
        <f>COUNT(G9:G19)</f>
        <v/>
      </c>
      <c r="F31" s="8">
        <f>COUNT(I9:I19)</f>
        <v/>
      </c>
    </row>
    <row r="34">
      <c r="B34" s="9" t="inlineStr">
        <is>
          <t>Source: Anscombe, F. J. (1973), ‘Graphs in Statistical Analysis’, The American Statistician 27(1), pp. 17–21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2026-09-13T17:11:48Z</dcterms:created>
  <dcterms:modified xmlns:dcterms="http://purl.org/dc/terms/" xmlns:xsi="http://www.w3.org/2001/XMLSchema-instance" xsi:type="dcterms:W3CDTF">2026-09-13T17:11:48Z</dcterms:modified>
</cp:coreProperties>
</file>