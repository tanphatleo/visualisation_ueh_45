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sunburst\"/>
    </mc:Choice>
  </mc:AlternateContent>
  <xr:revisionPtr revIDLastSave="0" documentId="13_ncr:1_{5DA22CCB-D66E-416D-97B0-1AC3312F47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nburst" sheetId="1" r:id="rId1"/>
  </sheets>
  <externalReferences>
    <externalReference r:id="rId2"/>
  </externalReferences>
  <definedNames>
    <definedName name="_xlchart.v1.0" hidden="1">Sunburst!$B$9:$D$20</definedName>
    <definedName name="_xlchart.v1.1" hidden="1">Sunburst!$E$8</definedName>
    <definedName name="_xlchart.v1.2" hidden="1">Sunburst!$E$9:$E$20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5" i="1"/>
  <c r="V14" i="1"/>
  <c r="T14" i="1"/>
  <c r="V13" i="1"/>
  <c r="V12" i="1"/>
  <c r="V11" i="1"/>
  <c r="T11" i="1"/>
  <c r="V10" i="1"/>
  <c r="V9" i="1"/>
  <c r="V8" i="1"/>
  <c r="T8" i="1"/>
  <c r="E21" i="1"/>
</calcChain>
</file>

<file path=xl/sharedStrings.xml><?xml version="1.0" encoding="utf-8"?>
<sst xmlns="http://schemas.openxmlformats.org/spreadsheetml/2006/main" count="105" uniqueCount="26">
  <si>
    <t>Boston holds half the company's headcount</t>
  </si>
  <si>
    <t>People by office, team and individual — 12 staff in 3 offices</t>
  </si>
  <si>
    <t>Headcount is one per person — the row count made explicit, so the sunburst has a measure to size its wedges by. The source table is three text columns and carries no measure of its own.</t>
  </si>
  <si>
    <t>Office</t>
  </si>
  <si>
    <t>Team</t>
  </si>
  <si>
    <t>Employee</t>
  </si>
  <si>
    <t>Headcount</t>
  </si>
  <si>
    <t>Boston</t>
  </si>
  <si>
    <t>Sales</t>
  </si>
  <si>
    <t>Lisa T.</t>
  </si>
  <si>
    <t>Phil B.</t>
  </si>
  <si>
    <t>Marc G.</t>
  </si>
  <si>
    <t>IT</t>
  </si>
  <si>
    <t>Lauren W.</t>
  </si>
  <si>
    <t>Product</t>
  </si>
  <si>
    <t>Bill B.</t>
  </si>
  <si>
    <t>New York</t>
  </si>
  <si>
    <t>Wendy L.</t>
  </si>
  <si>
    <t>Gina C.</t>
  </si>
  <si>
    <t>John R.</t>
  </si>
  <si>
    <t>Darren S.</t>
  </si>
  <si>
    <t>Miami</t>
  </si>
  <si>
    <t>Vicky A.</t>
  </si>
  <si>
    <t>Dennis M.</t>
  </si>
  <si>
    <t>Total</t>
  </si>
  <si>
    <t>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</si>
</sst>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262A33"/>
      <name val="Aptos"/>
    </font>
    <font>
      <sz val="11"/>
      <color rgb="FF595959"/>
      <name val="Aptos"/>
    </font>
    <font>
      <i/>
      <sz val="10"/>
      <color rgb="FF595959"/>
      <name val="Aptos"/>
    </font>
    <font>
      <b/>
      <sz val="11"/>
      <color rgb="FFFFFFFF"/>
      <name val="Aptos"/>
    </font>
    <font>
      <sz val="11"/>
      <color rgb="FF262A33"/>
      <name val="Aptos"/>
    </font>
    <font>
      <b/>
      <sz val="11"/>
      <color rgb="FF262A33"/>
      <name val="Aptos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F549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1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1" xfId="0" applyFont="1" applyBorder="1"/>
    <xf numFmtId="0" fontId="7" fillId="3" borderId="1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7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A33"/>
        <name val="Apto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A33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A33"/>
        <name val="Apto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2.svg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chemeClr val="tx2">
                    <a:lumMod val="75000"/>
                  </a:schemeClr>
                </a:solidFill>
                <a:latin typeface="Aptos"/>
              </a:rPr>
              <a:t>Boston holds half the company's headcount</a:t>
            </a:r>
          </a:p>
        </c:rich>
      </c:tx>
      <c:layout>
        <c:manualLayout>
          <c:xMode val="edge"/>
          <c:yMode val="edge"/>
          <c:x val="2.5732378972633585E-2"/>
          <c:y val="2.3216506168095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Sunburst!$V$7</c:f>
              <c:strCache>
                <c:ptCount val="1"/>
                <c:pt idx="0">
                  <c:v>Headcount</c:v>
                </c:pt>
              </c:strCache>
            </c:strRef>
          </c:tx>
          <c:spPr>
            <a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4"/>
            <c:invertIfNegative val="0"/>
            <c:bubble3D val="0"/>
            <c:spPr>
              <a:blipFill dpi="0" rotWithShape="1">
                <a:blip xmlns:r="http://schemas.openxmlformats.org/officeDocument/2006/relationships" r:embed="rId3">
                  <a:alphaModFix amt="50000"/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2-6F50-4811-A0A9-90D353130AC4}"/>
              </c:ext>
            </c:extLst>
          </c:dPt>
          <c:dPt>
            <c:idx val="5"/>
            <c:invertIfNegative val="0"/>
            <c:bubble3D val="0"/>
            <c:spPr>
              <a:blipFill dpi="0" rotWithShape="1">
                <a:blip xmlns:r="http://schemas.openxmlformats.org/officeDocument/2006/relationships" r:embed="rId3">
                  <a:alphaModFix amt="50000"/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6F50-4811-A0A9-90D353130AC4}"/>
              </c:ext>
            </c:extLst>
          </c:dPt>
          <c:dPt>
            <c:idx val="6"/>
            <c:invertIfNegative val="0"/>
            <c:bubble3D val="0"/>
            <c:spPr>
              <a:blipFill dpi="0" rotWithShape="1">
                <a:blip xmlns:r="http://schemas.openxmlformats.org/officeDocument/2006/relationships" r:embed="rId3">
                  <a:alphaModFix amt="50000"/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4-6F50-4811-A0A9-90D353130AC4}"/>
              </c:ext>
            </c:extLst>
          </c:dPt>
          <c:dPt>
            <c:idx val="7"/>
            <c:invertIfNegative val="0"/>
            <c:bubble3D val="0"/>
            <c:spPr>
              <a:blipFill dpi="0" rotWithShape="1">
                <a:blip xmlns:r="http://schemas.openxmlformats.org/officeDocument/2006/relationships" r:embed="rId3">
                  <a:alphaModFix amt="50000"/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5-6F50-4811-A0A9-90D353130AC4}"/>
              </c:ext>
            </c:extLst>
          </c:dPt>
          <c:cat>
            <c:multiLvlStrRef>
              <c:f>Sunburst!$T$8:$U$16</c:f>
              <c:multiLvlStrCache>
                <c:ptCount val="9"/>
                <c:lvl>
                  <c:pt idx="0">
                    <c:v>Sales</c:v>
                  </c:pt>
                  <c:pt idx="1">
                    <c:v>IT</c:v>
                  </c:pt>
                  <c:pt idx="2">
                    <c:v>Product</c:v>
                  </c:pt>
                  <c:pt idx="3">
                    <c:v>Sales</c:v>
                  </c:pt>
                  <c:pt idx="4">
                    <c:v>IT</c:v>
                  </c:pt>
                  <c:pt idx="5">
                    <c:v>Product</c:v>
                  </c:pt>
                  <c:pt idx="6">
                    <c:v>Sales</c:v>
                  </c:pt>
                  <c:pt idx="7">
                    <c:v>IT</c:v>
                  </c:pt>
                  <c:pt idx="8">
                    <c:v>Product</c:v>
                  </c:pt>
                </c:lvl>
                <c:lvl>
                  <c:pt idx="0">
                    <c:v>Boston</c:v>
                  </c:pt>
                  <c:pt idx="3">
                    <c:v>New York</c:v>
                  </c:pt>
                  <c:pt idx="6">
                    <c:v>Miami</c:v>
                  </c:pt>
                </c:lvl>
              </c:multiLvlStrCache>
            </c:multiLvlStrRef>
          </c:cat>
          <c:val>
            <c:numRef>
              <c:f>Sunburst!$V$8:$V$16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0-4811-A0A9-90D353130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29519311"/>
        <c:axId val="179833040"/>
      </c:barChart>
      <c:catAx>
        <c:axId val="52951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9833040"/>
        <c:crosses val="autoZero"/>
        <c:auto val="1"/>
        <c:lblAlgn val="ctr"/>
        <c:lblOffset val="100"/>
        <c:noMultiLvlLbl val="0"/>
      </c:catAx>
      <c:valAx>
        <c:axId val="179833040"/>
        <c:scaling>
          <c:orientation val="minMax"/>
          <c:max val="4.5"/>
        </c:scaling>
        <c:delete val="1"/>
        <c:axPos val="l"/>
        <c:numFmt formatCode="General" sourceLinked="1"/>
        <c:majorTickMark val="none"/>
        <c:minorTickMark val="none"/>
        <c:tickLblPos val="nextTo"/>
        <c:crossAx val="5295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Boston holds half the company's headcount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l">
            <a:defRPr sz="1400" b="1">
              <a:solidFill>
                <a:srgbClr val="262A33"/>
              </a:solidFill>
              <a:latin typeface="Aptos"/>
            </a:defRPr>
          </a:pPr>
          <a:r>
            <a:rPr lang="en-US" sz="2000" b="1">
              <a:solidFill>
                <a:schemeClr val="tx2">
                  <a:lumMod val="75000"/>
                </a:schemeClr>
              </a:solidFill>
              <a:latin typeface="Aptos"/>
            </a:rPr>
            <a:t>Boston holds half the company's headcount</a:t>
          </a:r>
        </a:p>
      </cx:txPr>
    </cx:title>
    <cx:plotArea>
      <cx:plotAreaRegion>
        <cx:series layoutId="sunburst" uniqueId="{3C1E9A57-2B44-4D0E-9F1A-7A6C5E2D8B41}">
          <cx:tx>
            <cx:txData>
              <cx:f>_xlchart.v1.1</cx:f>
              <cx:v>Headcount</cx:v>
            </cx:txData>
          </cx:tx>
          <cx:dataPt idx="0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1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2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3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4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5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6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7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8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9">
            <cx:spPr>
              <a:solidFill>
                <a:srgbClr val="0F3762"/>
              </a:solidFill>
              <a:ln w="12700">
                <a:solidFill>
                  <a:srgbClr val="FFFFFF"/>
                </a:solidFill>
              </a:ln>
            </cx:spPr>
          </cx:dataPt>
          <cx:dataPt idx="10">
            <cx:spPr>
              <a:solidFill>
                <a:srgbClr val="1F497D">
                  <a:lumMod val="20000"/>
                  <a:lumOff val="80000"/>
                </a:srgbClr>
              </a:solidFill>
              <a:ln w="12700">
                <a:solidFill>
                  <a:srgbClr val="FFFFFF"/>
                </a:solidFill>
              </a:ln>
            </cx:spPr>
          </cx:dataPt>
          <cx:dataPt idx="11">
            <cx:spPr>
              <a:ln w="12700">
                <a:solidFill>
                  <a:srgbClr val="FFFFFF"/>
                </a:solidFill>
              </a:ln>
            </cx:spPr>
          </cx:dataPt>
          <cx:dataPt idx="12">
            <cx:spPr>
              <a:ln w="12700">
                <a:solidFill>
                  <a:srgbClr val="FFFFFF"/>
                </a:solidFill>
              </a:ln>
            </cx:spPr>
          </cx:dataPt>
          <cx:dataPt idx="13">
            <cx:spPr>
              <a:ln w="12700">
                <a:solidFill>
                  <a:srgbClr val="FFFFFF"/>
                </a:solidFill>
              </a:ln>
            </cx:spPr>
          </cx:dataPt>
          <cx:dataPt idx="14">
            <cx:spPr>
              <a:ln w="12700">
                <a:solidFill>
                  <a:srgbClr val="FFFFFF"/>
                </a:solidFill>
              </a:ln>
            </cx:spPr>
          </cx:dataPt>
          <cx:dataPt idx="15">
            <cx:spPr>
              <a:ln w="12700">
                <a:solidFill>
                  <a:srgbClr val="FFFFFF"/>
                </a:solidFill>
              </a:ln>
            </cx:spPr>
          </cx:dataPt>
          <cx:dataPt idx="16">
            <cx:spPr>
              <a:ln w="12700">
                <a:solidFill>
                  <a:srgbClr val="FFFFFF"/>
                </a:solidFill>
              </a:ln>
            </cx:spPr>
          </cx:dataPt>
          <cx:dataPt idx="17">
            <cx:spPr>
              <a:solidFill>
                <a:sysClr val="window" lastClr="FFFFFF">
                  <a:lumMod val="85000"/>
                </a:sysClr>
              </a:solidFill>
              <a:ln w="12700">
                <a:solidFill>
                  <a:srgbClr val="FFFFFF"/>
                </a:solidFill>
              </a:ln>
            </cx:spPr>
          </cx:dataPt>
          <cx:dataPt idx="18">
            <cx:spPr>
              <a:ln w="12700">
                <a:solidFill>
                  <a:srgbClr val="FFFFFF"/>
                </a:solidFill>
              </a:ln>
            </cx:spPr>
          </cx:dataPt>
          <cx:dataPt idx="19">
            <cx:spPr>
              <a:ln w="12700">
                <a:solidFill>
                  <a:srgbClr val="FFFFFF"/>
                </a:solidFill>
              </a:ln>
            </cx:spPr>
          </cx:dataPt>
          <cx:dataPt idx="20">
            <cx:spPr>
              <a:ln w="12700">
                <a:solidFill>
                  <a:srgbClr val="FFFFFF"/>
                </a:solidFill>
              </a:ln>
            </cx:spPr>
          </cx:dataPt>
          <cx:dataPt idx="21">
            <cx:spPr>
              <a:ln w="12700">
                <a:solidFill>
                  <a:srgbClr val="FFFFFF"/>
                </a:solidFill>
              </a:ln>
            </cx:spPr>
          </cx:dataPt>
          <cx:dataLabels pos="ctr">
            <cx:txPr>
              <a:bodyPr lIns="0" tIns="0" rIns="0" bIns="0"/>
              <a:lstStyle/>
              <a:p>
                <a:pPr>
                  <a:defRPr sz="1200" b="0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x:txPr>
            <cx:visibility seriesName="0" categoryName="1" value="0"/>
          </cx:dataLabels>
          <cx:dataId val="0"/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0</xdr:colOff>
      <xdr:row>29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Sunburs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1257300"/>
              <a:ext cx="5486400" cy="443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47627</xdr:colOff>
      <xdr:row>17</xdr:row>
      <xdr:rowOff>9525</xdr:rowOff>
    </xdr:from>
    <xdr:to>
      <xdr:col>24</xdr:col>
      <xdr:colOff>419101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73FCA-EE62-4F53-ADC1-89034B0C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9525</xdr:colOff>
      <xdr:row>4</xdr:row>
      <xdr:rowOff>66675</xdr:rowOff>
    </xdr:from>
    <xdr:to>
      <xdr:col>24</xdr:col>
      <xdr:colOff>438150</xdr:colOff>
      <xdr:row>6</xdr:row>
      <xdr:rowOff>114300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F47933-15E8-5EE4-4D55-DE0F890E5050}"/>
            </a:ext>
          </a:extLst>
        </xdr:cNvPr>
        <xdr:cNvSpPr/>
      </xdr:nvSpPr>
      <xdr:spPr>
        <a:xfrm>
          <a:off x="15535275" y="942975"/>
          <a:ext cx="428625" cy="428625"/>
        </a:xfrm>
        <a:prstGeom prst="ellipse">
          <a:avLst/>
        </a:prstGeom>
        <a:ln w="317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6</xdr:col>
          <xdr:colOff>180975</xdr:colOff>
          <xdr:row>45</xdr:row>
          <xdr:rowOff>133350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468B2A31-BA57-E872-305B-D49BABA7AED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:$D$20" spid="_x0000_s103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409700" y="5505450"/>
              <a:ext cx="3371850" cy="33718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25</xdr:col>
      <xdr:colOff>152400</xdr:colOff>
      <xdr:row>5</xdr:row>
      <xdr:rowOff>104775</xdr:rowOff>
    </xdr:from>
    <xdr:to>
      <xdr:col>25</xdr:col>
      <xdr:colOff>581025</xdr:colOff>
      <xdr:row>7</xdr:row>
      <xdr:rowOff>152400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5EDA6F0-2EFC-46B7-AEE9-4B4C4A80BAFB}"/>
            </a:ext>
          </a:extLst>
        </xdr:cNvPr>
        <xdr:cNvSpPr/>
      </xdr:nvSpPr>
      <xdr:spPr>
        <a:xfrm>
          <a:off x="16287750" y="1171575"/>
          <a:ext cx="428625" cy="428625"/>
        </a:xfrm>
        <a:prstGeom prst="ellipse">
          <a:avLst/>
        </a:prstGeom>
        <a:ln w="317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609599</xdr:colOff>
      <xdr:row>42</xdr:row>
      <xdr:rowOff>0</xdr:rowOff>
    </xdr:from>
    <xdr:to>
      <xdr:col>16</xdr:col>
      <xdr:colOff>476250</xdr:colOff>
      <xdr:row>59</xdr:row>
      <xdr:rowOff>143226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78C980-916A-80FF-C7A3-4EDF55B5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8172450"/>
          <a:ext cx="3524251" cy="338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datat_visualisation\45_min\sunburst\office_headcount%20-%20Copy.xlsx" TargetMode="External"/><Relationship Id="rId1" Type="http://schemas.openxmlformats.org/officeDocument/2006/relationships/externalLinkPath" Target="office_headcount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nburst"/>
    </sheetNames>
    <sheetDataSet>
      <sheetData sheetId="0">
        <row r="7">
          <cell r="V7" t="str">
            <v>Headcount</v>
          </cell>
        </row>
        <row r="8">
          <cell r="T8" t="str">
            <v>Boston</v>
          </cell>
          <cell r="U8" t="str">
            <v>Sales</v>
          </cell>
          <cell r="V8">
            <v>3</v>
          </cell>
        </row>
        <row r="9">
          <cell r="U9" t="str">
            <v>IT</v>
          </cell>
          <cell r="V9">
            <v>2</v>
          </cell>
        </row>
        <row r="10">
          <cell r="U10" t="str">
            <v>Product</v>
          </cell>
          <cell r="V10">
            <v>1</v>
          </cell>
        </row>
        <row r="11">
          <cell r="T11" t="str">
            <v>New York</v>
          </cell>
          <cell r="U11" t="str">
            <v>Sales</v>
          </cell>
          <cell r="V11">
            <v>0</v>
          </cell>
        </row>
        <row r="12">
          <cell r="U12" t="str">
            <v>IT</v>
          </cell>
          <cell r="V12">
            <v>2</v>
          </cell>
        </row>
        <row r="13">
          <cell r="U13" t="str">
            <v>Product</v>
          </cell>
          <cell r="V13">
            <v>2</v>
          </cell>
        </row>
        <row r="14">
          <cell r="T14" t="str">
            <v>Miami</v>
          </cell>
          <cell r="U14" t="str">
            <v>Sales</v>
          </cell>
          <cell r="V14">
            <v>1</v>
          </cell>
        </row>
        <row r="15">
          <cell r="U15" t="str">
            <v>IT</v>
          </cell>
          <cell r="V15">
            <v>1</v>
          </cell>
        </row>
        <row r="16">
          <cell r="U16" t="str">
            <v>Product</v>
          </cell>
          <cell r="V16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FF793-E3B0-46FC-BD83-2CFE8D3D1A90}" name="Table1" displayName="Table1" ref="C54:E66" totalsRowShown="0" headerRowDxfId="3" headerRowBorderDxfId="1" tableBorderDxfId="2" totalsRowBorderDxfId="0">
  <autoFilter ref="C54:E66" xr:uid="{BF4FF793-E3B0-46FC-BD83-2CFE8D3D1A90}"/>
  <tableColumns count="3">
    <tableColumn id="1" xr3:uid="{043DB7BD-04EA-45E4-8628-F4284FFF1182}" name="Office" dataDxfId="6"/>
    <tableColumn id="2" xr3:uid="{6B99E15B-789E-4E37-8437-7FD8712E3DD6}" name="Team" dataDxfId="5"/>
    <tableColumn id="3" xr3:uid="{ED463917-1BE3-4C4A-8CEC-CC2BAD9CF018}" name="Employee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66"/>
  <sheetViews>
    <sheetView showGridLines="0" tabSelected="1" topLeftCell="A21" workbookViewId="0">
      <selection activeCell="T49" sqref="T49"/>
    </sheetView>
  </sheetViews>
  <sheetFormatPr defaultRowHeight="15" x14ac:dyDescent="0.25"/>
  <cols>
    <col min="2" max="2" width="12" customWidth="1"/>
    <col min="3" max="3" width="11" customWidth="1"/>
    <col min="4" max="4" width="15" customWidth="1"/>
    <col min="5" max="5" width="12.7109375" customWidth="1"/>
  </cols>
  <sheetData>
    <row r="2" spans="2:22" ht="24" customHeight="1" x14ac:dyDescent="0.25">
      <c r="B2" s="1" t="s">
        <v>0</v>
      </c>
    </row>
    <row r="3" spans="2:22" x14ac:dyDescent="0.25">
      <c r="B3" s="2" t="s">
        <v>1</v>
      </c>
    </row>
    <row r="5" spans="2:22" x14ac:dyDescent="0.25">
      <c r="B5" s="3" t="s">
        <v>2</v>
      </c>
    </row>
    <row r="7" spans="2:22" x14ac:dyDescent="0.25">
      <c r="S7" s="4" t="s">
        <v>3</v>
      </c>
      <c r="T7" s="4" t="s">
        <v>3</v>
      </c>
      <c r="U7" s="4" t="s">
        <v>4</v>
      </c>
      <c r="V7" s="4" t="s">
        <v>6</v>
      </c>
    </row>
    <row r="8" spans="2:22" ht="20.100000000000001" customHeight="1" x14ac:dyDescent="0.25">
      <c r="B8" s="9" t="s">
        <v>3</v>
      </c>
      <c r="C8" s="9" t="s">
        <v>4</v>
      </c>
      <c r="D8" s="9" t="s">
        <v>5</v>
      </c>
      <c r="E8" s="4" t="s">
        <v>6</v>
      </c>
      <c r="S8" t="s">
        <v>7</v>
      </c>
      <c r="T8" t="str">
        <f>S8</f>
        <v>Boston</v>
      </c>
      <c r="U8" t="s">
        <v>8</v>
      </c>
      <c r="V8">
        <f>SUMIFS(E:E,$C:$C,U8,B:B,S8)</f>
        <v>3</v>
      </c>
    </row>
    <row r="9" spans="2:22" x14ac:dyDescent="0.25">
      <c r="B9" s="8" t="s">
        <v>7</v>
      </c>
      <c r="C9" s="8" t="s">
        <v>8</v>
      </c>
      <c r="D9" s="8" t="s">
        <v>9</v>
      </c>
      <c r="E9" s="5">
        <v>1</v>
      </c>
      <c r="S9" t="s">
        <v>7</v>
      </c>
      <c r="U9" t="s">
        <v>12</v>
      </c>
      <c r="V9">
        <f>SUMIFS(E:E,$C:$C,U9,B:B,S9)</f>
        <v>2</v>
      </c>
    </row>
    <row r="10" spans="2:22" x14ac:dyDescent="0.25">
      <c r="B10" s="8" t="s">
        <v>7</v>
      </c>
      <c r="C10" s="8" t="s">
        <v>8</v>
      </c>
      <c r="D10" s="8" t="s">
        <v>10</v>
      </c>
      <c r="E10" s="5">
        <v>1</v>
      </c>
      <c r="S10" t="s">
        <v>7</v>
      </c>
      <c r="U10" t="s">
        <v>14</v>
      </c>
      <c r="V10">
        <f>SUMIFS(E:E,$C:$C,U10,B:B,S10)</f>
        <v>1</v>
      </c>
    </row>
    <row r="11" spans="2:22" x14ac:dyDescent="0.25">
      <c r="B11" s="8" t="s">
        <v>7</v>
      </c>
      <c r="C11" s="8" t="s">
        <v>8</v>
      </c>
      <c r="D11" s="8" t="s">
        <v>11</v>
      </c>
      <c r="E11" s="5">
        <v>1</v>
      </c>
      <c r="S11" t="s">
        <v>16</v>
      </c>
      <c r="T11" t="str">
        <f>S11</f>
        <v>New York</v>
      </c>
      <c r="U11" t="s">
        <v>8</v>
      </c>
      <c r="V11">
        <f>SUMIFS(E:E,$C:$C,U11,B:B,S11)</f>
        <v>0</v>
      </c>
    </row>
    <row r="12" spans="2:22" x14ac:dyDescent="0.25">
      <c r="B12" s="8" t="s">
        <v>7</v>
      </c>
      <c r="C12" s="8" t="s">
        <v>12</v>
      </c>
      <c r="D12" s="8" t="s">
        <v>25</v>
      </c>
      <c r="E12" s="5">
        <v>1</v>
      </c>
      <c r="S12" t="s">
        <v>16</v>
      </c>
      <c r="U12" t="s">
        <v>12</v>
      </c>
      <c r="V12">
        <f>SUMIFS(E:E,$C:$C,U12,B:B,S12)</f>
        <v>2</v>
      </c>
    </row>
    <row r="13" spans="2:22" x14ac:dyDescent="0.25">
      <c r="B13" s="8" t="s">
        <v>7</v>
      </c>
      <c r="C13" s="8" t="s">
        <v>12</v>
      </c>
      <c r="D13" s="8" t="s">
        <v>13</v>
      </c>
      <c r="E13" s="5">
        <v>1</v>
      </c>
      <c r="S13" t="s">
        <v>16</v>
      </c>
      <c r="U13" t="s">
        <v>14</v>
      </c>
      <c r="V13">
        <f>SUMIFS(E:E,$C:$C,U13,B:B,S13)</f>
        <v>2</v>
      </c>
    </row>
    <row r="14" spans="2:22" x14ac:dyDescent="0.25">
      <c r="B14" s="8" t="s">
        <v>7</v>
      </c>
      <c r="C14" s="8" t="s">
        <v>14</v>
      </c>
      <c r="D14" s="8" t="s">
        <v>15</v>
      </c>
      <c r="E14" s="5">
        <v>1</v>
      </c>
      <c r="S14" t="s">
        <v>21</v>
      </c>
      <c r="T14" t="str">
        <f>S14</f>
        <v>Miami</v>
      </c>
      <c r="U14" t="s">
        <v>8</v>
      </c>
      <c r="V14">
        <f>SUMIFS(E:E,$C:$C,U14,B:B,S14)</f>
        <v>1</v>
      </c>
    </row>
    <row r="15" spans="2:22" x14ac:dyDescent="0.25">
      <c r="B15" s="8" t="s">
        <v>16</v>
      </c>
      <c r="C15" s="8" t="s">
        <v>12</v>
      </c>
      <c r="D15" s="8" t="s">
        <v>17</v>
      </c>
      <c r="E15" s="5">
        <v>1</v>
      </c>
      <c r="S15" t="s">
        <v>21</v>
      </c>
      <c r="U15" t="s">
        <v>12</v>
      </c>
      <c r="V15">
        <f>SUMIFS(E:E,$C:$C,U15,B:B,S15)</f>
        <v>1</v>
      </c>
    </row>
    <row r="16" spans="2:22" x14ac:dyDescent="0.25">
      <c r="B16" s="8" t="s">
        <v>16</v>
      </c>
      <c r="C16" s="8" t="s">
        <v>12</v>
      </c>
      <c r="D16" s="8" t="s">
        <v>18</v>
      </c>
      <c r="E16" s="5">
        <v>1</v>
      </c>
      <c r="S16" t="s">
        <v>21</v>
      </c>
      <c r="U16" t="s">
        <v>14</v>
      </c>
      <c r="V16">
        <f>SUMIFS(E:E,$C:$C,U16,B:B,S16)</f>
        <v>0</v>
      </c>
    </row>
    <row r="17" spans="2:5" x14ac:dyDescent="0.25">
      <c r="B17" s="8" t="s">
        <v>16</v>
      </c>
      <c r="C17" s="8" t="s">
        <v>14</v>
      </c>
      <c r="D17" s="8" t="s">
        <v>19</v>
      </c>
      <c r="E17" s="5">
        <v>1</v>
      </c>
    </row>
    <row r="18" spans="2:5" x14ac:dyDescent="0.25">
      <c r="B18" s="8" t="s">
        <v>16</v>
      </c>
      <c r="C18" s="8" t="s">
        <v>14</v>
      </c>
      <c r="D18" s="8" t="s">
        <v>20</v>
      </c>
      <c r="E18" s="5">
        <v>1</v>
      </c>
    </row>
    <row r="19" spans="2:5" x14ac:dyDescent="0.25">
      <c r="B19" s="8" t="s">
        <v>21</v>
      </c>
      <c r="C19" s="8" t="s">
        <v>8</v>
      </c>
      <c r="D19" s="8" t="s">
        <v>22</v>
      </c>
      <c r="E19" s="5">
        <v>1</v>
      </c>
    </row>
    <row r="20" spans="2:5" x14ac:dyDescent="0.25">
      <c r="B20" s="8" t="s">
        <v>21</v>
      </c>
      <c r="C20" s="8" t="s">
        <v>12</v>
      </c>
      <c r="D20" s="8" t="s">
        <v>23</v>
      </c>
      <c r="E20" s="5">
        <v>1</v>
      </c>
    </row>
    <row r="21" spans="2:5" x14ac:dyDescent="0.25">
      <c r="B21" s="6" t="s">
        <v>24</v>
      </c>
      <c r="E21" s="7">
        <f>SUM(E9:E20)</f>
        <v>12</v>
      </c>
    </row>
    <row r="54" spans="3:5" x14ac:dyDescent="0.25">
      <c r="C54" s="12" t="s">
        <v>3</v>
      </c>
      <c r="D54" s="13" t="s">
        <v>4</v>
      </c>
      <c r="E54" s="14" t="s">
        <v>5</v>
      </c>
    </row>
    <row r="55" spans="3:5" x14ac:dyDescent="0.25">
      <c r="C55" s="10" t="s">
        <v>7</v>
      </c>
      <c r="D55" s="8" t="s">
        <v>8</v>
      </c>
      <c r="E55" s="11" t="s">
        <v>9</v>
      </c>
    </row>
    <row r="56" spans="3:5" x14ac:dyDescent="0.25">
      <c r="C56" s="10" t="s">
        <v>7</v>
      </c>
      <c r="D56" s="8" t="s">
        <v>8</v>
      </c>
      <c r="E56" s="11" t="s">
        <v>10</v>
      </c>
    </row>
    <row r="57" spans="3:5" x14ac:dyDescent="0.25">
      <c r="C57" s="10" t="s">
        <v>7</v>
      </c>
      <c r="D57" s="8" t="s">
        <v>8</v>
      </c>
      <c r="E57" s="11" t="s">
        <v>11</v>
      </c>
    </row>
    <row r="58" spans="3:5" x14ac:dyDescent="0.25">
      <c r="C58" s="10" t="s">
        <v>7</v>
      </c>
      <c r="D58" s="8" t="s">
        <v>12</v>
      </c>
      <c r="E58" s="11" t="s">
        <v>25</v>
      </c>
    </row>
    <row r="59" spans="3:5" x14ac:dyDescent="0.25">
      <c r="C59" s="10" t="s">
        <v>7</v>
      </c>
      <c r="D59" s="8" t="s">
        <v>12</v>
      </c>
      <c r="E59" s="11" t="s">
        <v>13</v>
      </c>
    </row>
    <row r="60" spans="3:5" x14ac:dyDescent="0.25">
      <c r="C60" s="10" t="s">
        <v>7</v>
      </c>
      <c r="D60" s="8" t="s">
        <v>14</v>
      </c>
      <c r="E60" s="11" t="s">
        <v>15</v>
      </c>
    </row>
    <row r="61" spans="3:5" x14ac:dyDescent="0.25">
      <c r="C61" s="10" t="s">
        <v>16</v>
      </c>
      <c r="D61" s="8" t="s">
        <v>12</v>
      </c>
      <c r="E61" s="11" t="s">
        <v>17</v>
      </c>
    </row>
    <row r="62" spans="3:5" x14ac:dyDescent="0.25">
      <c r="C62" s="10" t="s">
        <v>16</v>
      </c>
      <c r="D62" s="8" t="s">
        <v>12</v>
      </c>
      <c r="E62" s="11" t="s">
        <v>18</v>
      </c>
    </row>
    <row r="63" spans="3:5" x14ac:dyDescent="0.25">
      <c r="C63" s="10" t="s">
        <v>16</v>
      </c>
      <c r="D63" s="8" t="s">
        <v>14</v>
      </c>
      <c r="E63" s="11" t="s">
        <v>19</v>
      </c>
    </row>
    <row r="64" spans="3:5" x14ac:dyDescent="0.25">
      <c r="C64" s="10" t="s">
        <v>16</v>
      </c>
      <c r="D64" s="8" t="s">
        <v>14</v>
      </c>
      <c r="E64" s="11" t="s">
        <v>20</v>
      </c>
    </row>
    <row r="65" spans="3:5" x14ac:dyDescent="0.25">
      <c r="C65" s="10" t="s">
        <v>21</v>
      </c>
      <c r="D65" s="8" t="s">
        <v>8</v>
      </c>
      <c r="E65" s="11" t="s">
        <v>22</v>
      </c>
    </row>
    <row r="66" spans="3:5" x14ac:dyDescent="0.25">
      <c r="C66" s="15" t="s">
        <v>21</v>
      </c>
      <c r="D66" s="16" t="s">
        <v>12</v>
      </c>
      <c r="E66" s="17" t="s">
        <v>23</v>
      </c>
    </row>
  </sheetData>
  <pageMargins left="0.75" right="0.75" top="1" bottom="1" header="0.5" footer="0.5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Sunburst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2026-09-14T13:28:28Z</dcterms:created>
  <dcterms:modified xsi:type="dcterms:W3CDTF">2026-09-14T16:12:04Z</dcterms:modified>
</cp:coreProperties>
</file>