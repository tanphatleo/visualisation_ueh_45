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aw data" sheetId="1" state="visible" r:id="rId1"/>
    <sheet xmlns:r="http://schemas.openxmlformats.org/officeDocument/2006/relationships" name="2 Visualisation" sheetId="2" state="visible" r:id="rId2"/>
    <sheet xmlns:r="http://schemas.openxmlformats.org/officeDocument/2006/relationships" name="3 Storytelling" sheetId="3" state="visible" r:id="rId3"/>
    <sheet xmlns:r="http://schemas.openxmlformats.org/officeDocument/2006/relationships" name="4 Analyst" sheetId="4" state="visible" r:id="rId4"/>
    <sheet xmlns:r="http://schemas.openxmlformats.org/officeDocument/2006/relationships"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b val="1"/>
      <color rgb="00FFFFFF"/>
      <sz val="11"/>
    </font>
    <font>
      <name val="Aptos"/>
      <color rgb="008C8C8C"/>
      <sz val="9"/>
    </font>
    <font>
      <name val="Aptos"/>
      <i val="1"/>
      <color rgb="00595959"/>
      <sz val="9"/>
    </font>
    <font>
      <name val="Aptos"/>
      <color rgb="00595959"/>
      <sz val="9"/>
    </font>
    <font>
      <name val="Aptos"/>
      <sz val="9"/>
    </font>
    <font>
      <name val="Aptos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262A33"/>
      </patternFill>
    </fill>
    <fill>
      <patternFill patternType="solid">
        <fgColor rgb="000F5499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1" fontId="0" fillId="0" borderId="0" pivotButton="0" quotePrefix="0" xfId="0"/>
    <xf numFmtId="3" fontId="0" fillId="0" borderId="0" pivotButton="0" quotePrefix="0" xfId="0"/>
    <xf numFmtId="1" fontId="0" fillId="4" borderId="0" pivotButton="0" quotePrefix="0" xfId="0"/>
    <xf numFmtId="3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262A33"/>
                </a:solidFill>
                <a:latin typeface="Aptos"/>
              </a:defRPr>
            </a:pPr>
            <a:r>
              <a:rPr sz="1400" b="1">
                <a:solidFill>
                  <a:srgbClr val="262A33"/>
                </a:solidFill>
                <a:latin typeface="Aptos"/>
              </a:rPr>
              <a:t>U.S. Music Revenue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'2 Visualisation'!C8</f>
            </strRef>
          </tx>
          <spPr>
            <a:solidFill xmlns:a="http://schemas.openxmlformats.org/drawingml/2006/main">
              <a:srgbClr val="262A33"/>
            </a:solidFill>
            <a:ln xmlns:a="http://schemas.openxmlformats.org/drawingml/2006/main">
              <a:noFill/>
              <a:prstDash val="solid"/>
            </a:ln>
          </spPr>
          <cat>
            <numRef>
              <f>'2 Visualisation'!$B$9:$B$38</f>
            </numRef>
          </cat>
          <val>
            <numRef>
              <f>'2 Visualisation'!$C$9:$C$38</f>
            </numRef>
          </val>
        </ser>
        <ser>
          <idx val="1"/>
          <order val="1"/>
          <tx>
            <strRef>
              <f>'2 Visualisation'!D8</f>
            </strRef>
          </tx>
          <spPr>
            <a:solidFill xmlns:a="http://schemas.openxmlformats.org/drawingml/2006/main">
              <a:srgbClr val="0D7680"/>
            </a:solidFill>
            <a:ln xmlns:a="http://schemas.openxmlformats.org/drawingml/2006/main">
              <a:noFill/>
              <a:prstDash val="solid"/>
            </a:ln>
          </spPr>
          <cat>
            <numRef>
              <f>'2 Visualisation'!$B$9:$B$38</f>
            </numRef>
          </cat>
          <val>
            <numRef>
              <f>'2 Visualisation'!$D$9:$D$38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  <tickLblSkip val="10"/>
        <tickMarkSkip val="10"/>
      </catAx>
      <valAx>
        <axId val="100"/>
        <scaling>
          <orientation val="minMax"/>
          <max val="2500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numFmt formatCode="$#,##0,&quot;B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500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1100" b="0">
              <a:solidFill>
                <a:srgbClr val="595959"/>
              </a:solidFill>
              <a:latin typeface="Aptos"/>
            </a:defRPr>
          </a:pPr>
          <a:r>
            <a:t/>
          </a:r>
          <a:endParaRPr sz="1100" b="0">
            <a:solidFill>
              <a:srgbClr val="595959"/>
            </a:solidFill>
            <a:latin typeface="Aptos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1">
                <a:solidFill>
                  <a:srgbClr val="0D7680"/>
                </a:solidFill>
                <a:latin typeface="Aptos"/>
              </a:rPr>
              <a:t>Digital revenue</a:t>
            </a:r>
            <a:r>
              <a:rPr sz="1800" b="1">
                <a:solidFill>
                  <a:srgbClr val="262A33"/>
                </a:solidFill>
                <a:latin typeface="Aptos"/>
              </a:rPr>
              <a:t xml:space="preserve"> climbed steadily with more internet adoption</a:t>
            </a:r>
          </a:p>
          <a:p xmlns:a="http://schemas.openxmlformats.org/drawingml/2006/main">
            <a:pPr algn="l">
              <a:defRPr sz="1400" b="0">
                <a:solidFill>
                  <a:srgbClr val="595959"/>
                </a:solidFill>
                <a:latin typeface="Aptos"/>
              </a:defRPr>
            </a:pPr>
            <a:r>
              <a:rPr sz="1400" b="0">
                <a:solidFill>
                  <a:srgbClr val="595959"/>
                </a:solidFill>
                <a:latin typeface="Aptos"/>
              </a:rPr>
              <a:t xml:space="preserve">However, the music industry </a:t>
            </a:r>
            <a:r>
              <a:rPr sz="1400" b="1">
                <a:solidFill>
                  <a:srgbClr val="595959"/>
                </a:solidFill>
                <a:latin typeface="Aptos"/>
              </a:rPr>
              <a:t>shrunk 50%</a:t>
            </a:r>
            <a:r>
              <a:rPr sz="1400" b="0">
                <a:solidFill>
                  <a:srgbClr val="595959"/>
                </a:solidFill>
                <a:latin typeface="Aptos"/>
              </a:rPr>
              <a:t xml:space="preserve"> comparing to 1999</a:t>
            </a:r>
          </a:p>
        </rich>
      </tx>
      <layout>
        <manualLayout>
          <xMode val="edge"/>
          <yMode val="edge"/>
          <wMode val="factor"/>
          <hMode val="factor"/>
          <x val="0.02"/>
          <y val="0.015"/>
        </manualLayout>
      </layout>
      <overlay val="0"/>
    </title>
    <plotArea>
      <areaChart>
        <grouping val="stacked"/>
        <ser>
          <idx val="0"/>
          <order val="0"/>
          <tx>
            <strRef>
              <f>'3 Storytelling'!C8</f>
            </strRef>
          </tx>
          <spPr>
            <a:solidFill xmlns:a="http://schemas.openxmlformats.org/drawingml/2006/main">
              <a:srgbClr val="262A33"/>
            </a:solidFill>
            <a:ln xmlns:a="http://schemas.openxmlformats.org/drawingml/2006/main">
              <a:noFill/>
              <a:prstDash val="solid"/>
            </a:ln>
          </spPr>
          <dLbls>
            <dLbl>
              <idx val="7"/>
              <txPr>
                <a:bodyPr xmlns:a="http://schemas.openxmlformats.org/drawingml/2006/main"/>
                <a:p xmlns:a="http://schemas.openxmlformats.org/drawingml/2006/main">
                  <a:pPr>
                    <a:defRPr sz="1200" b="1">
                      <a:solidFill>
                        <a:srgbClr val="FFFFFF"/>
                      </a:solidFill>
                      <a:latin typeface="Aptos"/>
                    </a:defRPr>
                  </a:pPr>
                  <a:r>
                    <a:t/>
                  </a:r>
                  <a:endParaRPr sz="1200" b="1">
                    <a:solidFill>
                      <a:srgbClr val="FFFFFF"/>
                    </a:solidFill>
                    <a:latin typeface="Aptos"/>
                  </a:endParaRPr>
                </a:p>
              </txPr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'3 Storytelling'!$B$9:$B$38</f>
            </numRef>
          </cat>
          <val>
            <numRef>
              <f>'3 Storytelling'!$C$9:$C$38</f>
            </numRef>
          </val>
        </ser>
        <ser>
          <idx val="1"/>
          <order val="1"/>
          <tx>
            <strRef>
              <f>'3 Storytelling'!D8</f>
            </strRef>
          </tx>
          <spPr>
            <a:solidFill xmlns:a="http://schemas.openxmlformats.org/drawingml/2006/main">
              <a:srgbClr val="0D7680"/>
            </a:solidFill>
            <a:ln xmlns:a="http://schemas.openxmlformats.org/drawingml/2006/main">
              <a:noFill/>
              <a:prstDash val="solid"/>
            </a:ln>
          </spPr>
          <dLbls>
            <dLbl>
              <idx val="27"/>
              <txPr>
                <a:bodyPr xmlns:a="http://schemas.openxmlformats.org/drawingml/2006/main"/>
                <a:p xmlns:a="http://schemas.openxmlformats.org/drawingml/2006/main">
                  <a:pPr>
                    <a:defRPr sz="1200" b="1">
                      <a:solidFill>
                        <a:srgbClr val="FFFFFF"/>
                      </a:solidFill>
                      <a:latin typeface="Aptos"/>
                    </a:defRPr>
                  </a:pPr>
                  <a:r>
                    <a:t/>
                  </a:r>
                  <a:endParaRPr sz="1200" b="1">
                    <a:solidFill>
                      <a:srgbClr val="FFFFFF"/>
                    </a:solidFill>
                    <a:latin typeface="Aptos"/>
                  </a:endParaRPr>
                </a:p>
              </txPr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'3 Storytelling'!$B$9:$B$38</f>
            </numRef>
          </cat>
          <val>
            <numRef>
              <f>'3 Storytelling'!$D$9:$D$38</f>
            </numRef>
          </val>
        </ser>
        <axId val="10"/>
        <axId val="100"/>
      </areaChart>
      <scatterChart>
        <ser>
          <idx val="2"/>
          <order val="2"/>
          <tx>
            <strRef>
              <f>'3 Storytelling'!$B$42</f>
            </strRef>
          </tx>
          <spPr>
            <a:ln xmlns:a="http://schemas.openxmlformats.org/drawingml/2006/main" w="28575">
              <a:solidFill>
                <a:srgbClr val="E835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11"/>
                  <y val="-0.005"/>
                </manualLayout>
              </layout>
              <txPr>
                <a:bodyPr xmlns:a="http://schemas.openxmlformats.org/drawingml/2006/main"/>
                <a:p xmlns:a="http://schemas.openxmlformats.org/drawingml/2006/main">
                  <a:pPr>
                    <a:defRPr sz="1100" b="1">
                      <a:solidFill>
                        <a:srgbClr val="E8352B"/>
                      </a:solidFill>
                      <a:latin typeface="Aptos"/>
                    </a:defRPr>
                  </a:pPr>
                  <a:r>
                    <a:t/>
                  </a:r>
                  <a:endParaRPr sz="1100" b="1">
                    <a:solidFill>
                      <a:srgbClr val="E8352B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'3 Storytelling'!$C$42:$C$43</f>
            </numRef>
          </xVal>
          <yVal>
            <numRef>
              <f>'3 Storytelling'!$D$42:$D$43</f>
            </numRef>
          </yVal>
        </ser>
        <ser>
          <idx val="3"/>
          <order val="3"/>
          <tx>
            <strRef>
              <f>'3 Storytelling'!$B$45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1100" b="1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1100" b="1">
                    <a:solidFill>
                      <a:srgbClr val="262A33"/>
                    </a:solidFill>
                    <a:latin typeface="Aptos"/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'3 Storytelling'!$C$45</f>
            </numRef>
          </xVal>
          <yVal>
            <numRef>
              <f>'3 Storytelling'!$D$45</f>
            </numRef>
          </yVal>
        </ser>
        <ser>
          <idx val="4"/>
          <order val="4"/>
          <tx>
            <strRef>
              <f>'3 Storytelling'!$B$46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1100" b="1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1100" b="1">
                    <a:solidFill>
                      <a:srgbClr val="262A33"/>
                    </a:solidFill>
                    <a:latin typeface="Aptos"/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'3 Storytelling'!$C$46</f>
            </numRef>
          </xVal>
          <yVal>
            <numRef>
              <f>'3 Storytelling'!$D$46</f>
            </numRef>
          </yVal>
        </ser>
        <ser>
          <idx val="5"/>
          <order val="5"/>
          <tx>
            <strRef>
              <f>'3 Storytelling'!$B$47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1100" b="0">
                      <a:solidFill>
                        <a:srgbClr val="595959"/>
                      </a:solidFill>
                      <a:latin typeface="Aptos"/>
                    </a:defRPr>
                  </a:pPr>
                  <a:r>
                    <a:t/>
                  </a:r>
                  <a:endParaRPr sz="1100" b="0">
                    <a:solidFill>
                      <a:srgbClr val="595959"/>
                    </a:solidFill>
                    <a:latin typeface="Aptos"/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'3 Storytelling'!$C$47</f>
            </numRef>
          </xVal>
          <yVal>
            <numRef>
              <f>'3 Storytelling'!$D$47</f>
            </numRef>
          </yVal>
        </ser>
        <axId val="300"/>
        <axId val="200"/>
      </scatte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  <tickLblSkip val="10"/>
        <tickMarkSkip val="10"/>
      </catAx>
      <valAx>
        <axId val="100"/>
        <scaling>
          <orientation val="minMax"/>
          <max val="25000"/>
        </scaling>
        <delete val="0"/>
        <axPos val="l"/>
        <numFmt formatCode="$#,##0,&quot;B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5000"/>
      </valAx>
      <valAx>
        <axId val="300"/>
        <scaling>
          <orientation val="minMax"/>
          <max val="30.5"/>
          <min val="0.5"/>
        </scaling>
        <delete val="0"/>
        <axPos val="t"/>
        <numFmt formatCode=";;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200"/>
        <crosses val="max"/>
      </valAx>
      <valAx>
        <axId val="200"/>
        <scaling>
          <orientation val="minMax"/>
          <max val="1"/>
          <min val="0"/>
        </scaling>
        <delete val="0"/>
        <axPos val="r"/>
        <numFmt formatCode=";;;" sourceLinked="0"/>
        <majorTickMark val="none"/>
        <minorTickMark val="none"/>
        <tickLblPos val="none"/>
        <spPr>
          <a:ln xmlns:a="http://schemas.openxmlformats.org/drawingml/2006/main">
            <a:noFill/>
            <a:prstDash val="solid"/>
          </a:ln>
        </spPr>
        <crossAx val="30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1">
                <a:solidFill>
                  <a:srgbClr val="0D7680"/>
                </a:solidFill>
                <a:latin typeface="Aptos"/>
              </a:rPr>
              <a:t>Digital revenue</a:t>
            </a:r>
            <a:r>
              <a:rPr sz="1800" b="1">
                <a:solidFill>
                  <a:srgbClr val="262A33"/>
                </a:solidFill>
                <a:latin typeface="Aptos"/>
              </a:rPr>
              <a:t xml:space="preserve"> climbed steadily with more internet adoption</a:t>
            </a:r>
          </a:p>
          <a:p xmlns:a="http://schemas.openxmlformats.org/drawingml/2006/main">
            <a:pPr algn="l">
              <a:defRPr sz="1400" b="0">
                <a:solidFill>
                  <a:srgbClr val="595959"/>
                </a:solidFill>
                <a:latin typeface="Aptos"/>
              </a:defRPr>
            </a:pPr>
            <a:r>
              <a:rPr sz="1400" b="0">
                <a:solidFill>
                  <a:srgbClr val="595959"/>
                </a:solidFill>
                <a:latin typeface="Aptos"/>
              </a:rPr>
              <a:t xml:space="preserve">However, the music industry </a:t>
            </a:r>
            <a:r>
              <a:rPr sz="1400" b="1">
                <a:solidFill>
                  <a:srgbClr val="595959"/>
                </a:solidFill>
                <a:latin typeface="Aptos"/>
              </a:rPr>
              <a:t>shrunk 50%</a:t>
            </a:r>
            <a:r>
              <a:rPr sz="1400" b="0">
                <a:solidFill>
                  <a:srgbClr val="595959"/>
                </a:solidFill>
                <a:latin typeface="Aptos"/>
              </a:rPr>
              <a:t xml:space="preserve"> comparing to 1999</a:t>
            </a:r>
          </a:p>
        </rich>
      </tx>
      <layout>
        <manualLayout>
          <xMode val="edge"/>
          <yMode val="edge"/>
          <wMode val="factor"/>
          <hMode val="factor"/>
          <x val="0.02"/>
          <y val="0.0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55"/>
          <y val="0.15"/>
          <w val="0.8"/>
          <h val="0.8"/>
        </manualLayout>
      </layout>
      <areaChart>
        <grouping val="stacked"/>
        <ser>
          <idx val="0"/>
          <order val="0"/>
          <tx>
            <strRef>
              <f>'4 Analyst'!D8</f>
            </strRef>
          </tx>
          <spPr>
            <a:solidFill xmlns:a="http://schemas.openxmlformats.org/drawingml/2006/main">
              <a:srgbClr val="0D7680"/>
            </a:solidFill>
            <a:ln xmlns:a="http://schemas.openxmlformats.org/drawingml/2006/main">
              <a:noFill/>
              <a:prstDash val="solid"/>
            </a:ln>
          </spPr>
          <dLbls>
            <dLbl>
              <idx val="27"/>
              <txPr>
                <a:bodyPr xmlns:a="http://schemas.openxmlformats.org/drawingml/2006/main"/>
                <a:p xmlns:a="http://schemas.openxmlformats.org/drawingml/2006/main">
                  <a:pPr>
                    <a:defRPr sz="1200" b="1">
                      <a:solidFill>
                        <a:srgbClr val="FFFFFF"/>
                      </a:solidFill>
                      <a:latin typeface="Aptos"/>
                    </a:defRPr>
                  </a:pPr>
                  <a:r>
                    <a:t/>
                  </a:r>
                  <a:endParaRPr sz="1200" b="1">
                    <a:solidFill>
                      <a:srgbClr val="FFFFFF"/>
                    </a:solidFill>
                    <a:latin typeface="Aptos"/>
                  </a:endParaRPr>
                </a:p>
              </txPr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'4 Analyst'!$B$9:$B$38</f>
            </numRef>
          </cat>
          <val>
            <numRef>
              <f>'4 Analyst'!$D$9:$D$38</f>
            </numRef>
          </val>
        </ser>
        <ser>
          <idx val="1"/>
          <order val="1"/>
          <tx>
            <strRef>
              <f>'4 Analyst'!C8</f>
            </strRef>
          </tx>
          <spPr>
            <a:solidFill xmlns:a="http://schemas.openxmlformats.org/drawingml/2006/main">
              <a:srgbClr val="262A33"/>
            </a:solidFill>
            <a:ln xmlns:a="http://schemas.openxmlformats.org/drawingml/2006/main">
              <a:noFill/>
              <a:prstDash val="solid"/>
            </a:ln>
          </spPr>
          <dLbls>
            <dLbl>
              <idx val="7"/>
              <txPr>
                <a:bodyPr xmlns:a="http://schemas.openxmlformats.org/drawingml/2006/main"/>
                <a:p xmlns:a="http://schemas.openxmlformats.org/drawingml/2006/main">
                  <a:pPr>
                    <a:defRPr sz="1200" b="1">
                      <a:solidFill>
                        <a:srgbClr val="FFFFFF"/>
                      </a:solidFill>
                      <a:latin typeface="Aptos"/>
                    </a:defRPr>
                  </a:pPr>
                  <a:r>
                    <a:t/>
                  </a:r>
                  <a:endParaRPr sz="1200" b="1">
                    <a:solidFill>
                      <a:srgbClr val="FFFFFF"/>
                    </a:solidFill>
                    <a:latin typeface="Aptos"/>
                  </a:endParaRPr>
                </a:p>
              </txPr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'4 Analyst'!$B$9:$B$38</f>
            </numRef>
          </cat>
          <val>
            <numRef>
              <f>'4 Analyst'!$C$9:$C$38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'4 Analyst'!$B$43</f>
            </strRef>
          </tx>
          <spPr>
            <a:ln xmlns:a="http://schemas.openxmlformats.org/drawingml/2006/main" w="28575">
              <a:solidFill>
                <a:srgbClr val="F2A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9"/>
              <txPr>
                <a:bodyPr xmlns:a="http://schemas.openxmlformats.org/drawingml/2006/main"/>
                <a:p xmlns:a="http://schemas.openxmlformats.org/drawingml/2006/main">
                  <a:pPr>
                    <a:defRPr sz="1100" b="1">
                      <a:solidFill>
                        <a:srgbClr val="F2A900"/>
                      </a:solidFill>
                      <a:latin typeface="Aptos"/>
                    </a:defRPr>
                  </a:pPr>
                  <a:r>
                    <a:t/>
                  </a:r>
                  <a:endParaRPr sz="1100" b="1">
                    <a:solidFill>
                      <a:srgbClr val="F2A900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'4 Analyst'!$B$9:$B$38</f>
            </numRef>
          </cat>
          <val>
            <numRef>
              <f>'4 Analyst'!$F$9:$F$38</f>
            </numRef>
          </val>
          <smooth val="0"/>
        </ser>
        <ser>
          <idx val="3"/>
          <order val="3"/>
          <tx>
            <strRef>
              <f>'4 Analyst'!$B$44</f>
            </strRef>
          </tx>
          <spPr>
            <a:ln xmlns:a="http://schemas.openxmlformats.org/drawingml/2006/main" w="28575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9"/>
              <txPr>
                <a:bodyPr xmlns:a="http://schemas.openxmlformats.org/drawingml/2006/main"/>
                <a:p xmlns:a="http://schemas.openxmlformats.org/drawingml/2006/main">
                  <a:pPr>
                    <a:defRPr sz="1100" b="1">
                      <a:solidFill>
                        <a:srgbClr val="9B59B6"/>
                      </a:solidFill>
                      <a:latin typeface="Aptos"/>
                    </a:defRPr>
                  </a:pPr>
                  <a:r>
                    <a:t/>
                  </a:r>
                  <a:endParaRPr sz="1100" b="1">
                    <a:solidFill>
                      <a:srgbClr val="9B59B6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'4 Analyst'!$B$9:$B$38</f>
            </numRef>
          </cat>
          <val>
            <numRef>
              <f>'4 Analyst'!$G$9:$G$38</f>
            </numRef>
          </val>
          <smooth val="0"/>
        </ser>
        <ser>
          <idx val="4"/>
          <order val="4"/>
          <tx>
            <strRef>
              <f>'4 Analyst'!H8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9"/>
              <txPr>
                <a:bodyPr xmlns:a="http://schemas.openxmlformats.org/drawingml/2006/main"/>
                <a:p xmlns:a="http://schemas.openxmlformats.org/drawingml/2006/main">
                  <a:pPr>
                    <a:defRPr sz="1100" b="0">
                      <a:solidFill>
                        <a:srgbClr val="595959"/>
                      </a:solidFill>
                      <a:latin typeface="Aptos"/>
                    </a:defRPr>
                  </a:pPr>
                  <a:r>
                    <a:t/>
                  </a:r>
                  <a:endParaRPr sz="1100" b="0">
                    <a:solidFill>
                      <a:srgbClr val="595959"/>
                    </a:solidFill>
                    <a:latin typeface="Aptos"/>
                  </a:endParaRPr>
                </a:p>
              </txPr>
              <dLblPos val="b"/>
              <showLegendKey val="0"/>
              <showVal val="0"/>
              <showCatName val="1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'4 Analyst'!$H$9:$H$38</f>
            </numRef>
          </val>
        </ser>
        <axId val="30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  <tickLblSkip val="10"/>
        <tickMarkSkip val="10"/>
      </catAx>
      <valAx>
        <axId val="100"/>
        <scaling>
          <orientation val="minMax"/>
          <max val="25000"/>
          <min val="0"/>
        </scaling>
        <delete val="0"/>
        <axPos val="l"/>
        <numFmt formatCode="$#,##0,&quot;B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5000"/>
      </valAx>
      <catAx>
        <axId val="300"/>
        <scaling>
          <orientation val="minMax"/>
        </scaling>
        <delete val="1"/>
        <axPos val="l"/>
        <majorTickMark val="none"/>
        <minorTickMark val="none"/>
        <crossAx val="200"/>
        <lblOffset val="100"/>
      </catAx>
      <valAx>
        <axId val="200"/>
        <scaling>
          <orientation val="minMax"/>
          <max val="100"/>
          <min val="0"/>
        </scaling>
        <delete val="0"/>
        <axPos val="r"/>
        <numFmt formatCode="0&quot;%&quot;" sourceLinked="0"/>
        <majorTickMark val="none"/>
        <minorTickMark val="none"/>
        <tickLblPos val="none"/>
        <spPr>
          <a:ln xmlns:a="http://schemas.openxmlformats.org/drawingml/2006/main">
            <a:noFill/>
            <a:prstDash val="solid"/>
          </a:ln>
        </spPr>
        <crossAx val="300"/>
        <crosses val="max"/>
        <majorUnit val="2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864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7</row>
      <rowOff>0</rowOff>
    </from>
    <ext cx="864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7</row>
      <rowOff>0</rowOff>
    </from>
    <ext cx="864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</cols>
  <sheetData>
    <row r="2" ht="24" customHeight="1">
      <c r="B2" s="1" t="inlineStr">
        <is>
          <t>Raw data</t>
        </is>
      </c>
    </row>
    <row r="3">
      <c r="B3" s="2" t="inlineStr">
        <is>
          <t>Everything is here, and nothing is said. Thirty rows is already past what a reader will scan.</t>
        </is>
      </c>
    </row>
    <row r="7">
      <c r="B7" s="3" t="inlineStr">
        <is>
          <t>REVENUE ($MM)</t>
        </is>
      </c>
    </row>
    <row r="8" ht="20" customHeight="1">
      <c r="B8" s="4" t="inlineStr">
        <is>
          <t>Year</t>
        </is>
      </c>
      <c r="C8" s="4" t="inlineStr">
        <is>
          <t>Physical</t>
        </is>
      </c>
      <c r="D8" s="4" t="inlineStr">
        <is>
          <t>Digital</t>
        </is>
      </c>
      <c r="E8" s="4" t="inlineStr">
        <is>
          <t>Total</t>
        </is>
      </c>
    </row>
    <row r="9">
      <c r="B9" s="5">
        <f>Data!B9</f>
        <v/>
      </c>
      <c r="C9" s="6">
        <f>Data!C9</f>
        <v/>
      </c>
      <c r="D9" s="6">
        <f>Data!D9</f>
        <v/>
      </c>
      <c r="E9" s="6">
        <f>Data!E9</f>
        <v/>
      </c>
    </row>
    <row r="10">
      <c r="B10" s="7">
        <f>Data!B10</f>
        <v/>
      </c>
      <c r="C10" s="8">
        <f>Data!C10</f>
        <v/>
      </c>
      <c r="D10" s="8">
        <f>Data!D10</f>
        <v/>
      </c>
      <c r="E10" s="8">
        <f>Data!E10</f>
        <v/>
      </c>
    </row>
    <row r="11">
      <c r="B11" s="5">
        <f>Data!B11</f>
        <v/>
      </c>
      <c r="C11" s="6">
        <f>Data!C11</f>
        <v/>
      </c>
      <c r="D11" s="6">
        <f>Data!D11</f>
        <v/>
      </c>
      <c r="E11" s="6">
        <f>Data!E11</f>
        <v/>
      </c>
    </row>
    <row r="12">
      <c r="B12" s="7">
        <f>Data!B12</f>
        <v/>
      </c>
      <c r="C12" s="8">
        <f>Data!C12</f>
        <v/>
      </c>
      <c r="D12" s="8">
        <f>Data!D12</f>
        <v/>
      </c>
      <c r="E12" s="8">
        <f>Data!E12</f>
        <v/>
      </c>
    </row>
    <row r="13">
      <c r="B13" s="5">
        <f>Data!B13</f>
        <v/>
      </c>
      <c r="C13" s="6">
        <f>Data!C13</f>
        <v/>
      </c>
      <c r="D13" s="6">
        <f>Data!D13</f>
        <v/>
      </c>
      <c r="E13" s="6">
        <f>Data!E13</f>
        <v/>
      </c>
    </row>
    <row r="14">
      <c r="B14" s="7">
        <f>Data!B14</f>
        <v/>
      </c>
      <c r="C14" s="8">
        <f>Data!C14</f>
        <v/>
      </c>
      <c r="D14" s="8">
        <f>Data!D14</f>
        <v/>
      </c>
      <c r="E14" s="8">
        <f>Data!E14</f>
        <v/>
      </c>
    </row>
    <row r="15">
      <c r="B15" s="5">
        <f>Data!B15</f>
        <v/>
      </c>
      <c r="C15" s="6">
        <f>Data!C15</f>
        <v/>
      </c>
      <c r="D15" s="6">
        <f>Data!D15</f>
        <v/>
      </c>
      <c r="E15" s="6">
        <f>Data!E15</f>
        <v/>
      </c>
    </row>
    <row r="16">
      <c r="B16" s="7">
        <f>Data!B16</f>
        <v/>
      </c>
      <c r="C16" s="8">
        <f>Data!C16</f>
        <v/>
      </c>
      <c r="D16" s="8">
        <f>Data!D16</f>
        <v/>
      </c>
      <c r="E16" s="8">
        <f>Data!E16</f>
        <v/>
      </c>
    </row>
    <row r="17">
      <c r="B17" s="5">
        <f>Data!B17</f>
        <v/>
      </c>
      <c r="C17" s="6">
        <f>Data!C17</f>
        <v/>
      </c>
      <c r="D17" s="6">
        <f>Data!D17</f>
        <v/>
      </c>
      <c r="E17" s="6">
        <f>Data!E17</f>
        <v/>
      </c>
    </row>
    <row r="18">
      <c r="B18" s="7">
        <f>Data!B18</f>
        <v/>
      </c>
      <c r="C18" s="8">
        <f>Data!C18</f>
        <v/>
      </c>
      <c r="D18" s="8">
        <f>Data!D18</f>
        <v/>
      </c>
      <c r="E18" s="8">
        <f>Data!E18</f>
        <v/>
      </c>
    </row>
    <row r="19">
      <c r="B19" s="5">
        <f>Data!B19</f>
        <v/>
      </c>
      <c r="C19" s="6">
        <f>Data!C19</f>
        <v/>
      </c>
      <c r="D19" s="6">
        <f>Data!D19</f>
        <v/>
      </c>
      <c r="E19" s="6">
        <f>Data!E19</f>
        <v/>
      </c>
    </row>
    <row r="20">
      <c r="B20" s="7">
        <f>Data!B20</f>
        <v/>
      </c>
      <c r="C20" s="8">
        <f>Data!C20</f>
        <v/>
      </c>
      <c r="D20" s="8">
        <f>Data!D20</f>
        <v/>
      </c>
      <c r="E20" s="8">
        <f>Data!E20</f>
        <v/>
      </c>
    </row>
    <row r="21">
      <c r="B21" s="5">
        <f>Data!B21</f>
        <v/>
      </c>
      <c r="C21" s="6">
        <f>Data!C21</f>
        <v/>
      </c>
      <c r="D21" s="6">
        <f>Data!D21</f>
        <v/>
      </c>
      <c r="E21" s="6">
        <f>Data!E21</f>
        <v/>
      </c>
    </row>
    <row r="22">
      <c r="B22" s="7">
        <f>Data!B22</f>
        <v/>
      </c>
      <c r="C22" s="8">
        <f>Data!C22</f>
        <v/>
      </c>
      <c r="D22" s="8">
        <f>Data!D22</f>
        <v/>
      </c>
      <c r="E22" s="8">
        <f>Data!E22</f>
        <v/>
      </c>
    </row>
    <row r="23">
      <c r="B23" s="5">
        <f>Data!B23</f>
        <v/>
      </c>
      <c r="C23" s="6">
        <f>Data!C23</f>
        <v/>
      </c>
      <c r="D23" s="6">
        <f>Data!D23</f>
        <v/>
      </c>
      <c r="E23" s="6">
        <f>Data!E23</f>
        <v/>
      </c>
    </row>
    <row r="24">
      <c r="B24" s="7">
        <f>Data!B24</f>
        <v/>
      </c>
      <c r="C24" s="8">
        <f>Data!C24</f>
        <v/>
      </c>
      <c r="D24" s="8">
        <f>Data!D24</f>
        <v/>
      </c>
      <c r="E24" s="8">
        <f>Data!E24</f>
        <v/>
      </c>
    </row>
    <row r="25">
      <c r="B25" s="5">
        <f>Data!B25</f>
        <v/>
      </c>
      <c r="C25" s="6">
        <f>Data!C25</f>
        <v/>
      </c>
      <c r="D25" s="6">
        <f>Data!D25</f>
        <v/>
      </c>
      <c r="E25" s="6">
        <f>Data!E25</f>
        <v/>
      </c>
    </row>
    <row r="26">
      <c r="B26" s="7">
        <f>Data!B26</f>
        <v/>
      </c>
      <c r="C26" s="8">
        <f>Data!C26</f>
        <v/>
      </c>
      <c r="D26" s="8">
        <f>Data!D26</f>
        <v/>
      </c>
      <c r="E26" s="8">
        <f>Data!E26</f>
        <v/>
      </c>
    </row>
    <row r="27">
      <c r="B27" s="5">
        <f>Data!B27</f>
        <v/>
      </c>
      <c r="C27" s="6">
        <f>Data!C27</f>
        <v/>
      </c>
      <c r="D27" s="6">
        <f>Data!D27</f>
        <v/>
      </c>
      <c r="E27" s="6">
        <f>Data!E27</f>
        <v/>
      </c>
    </row>
    <row r="28">
      <c r="B28" s="7">
        <f>Data!B28</f>
        <v/>
      </c>
      <c r="C28" s="8">
        <f>Data!C28</f>
        <v/>
      </c>
      <c r="D28" s="8">
        <f>Data!D28</f>
        <v/>
      </c>
      <c r="E28" s="8">
        <f>Data!E28</f>
        <v/>
      </c>
    </row>
    <row r="29">
      <c r="B29" s="5">
        <f>Data!B29</f>
        <v/>
      </c>
      <c r="C29" s="6">
        <f>Data!C29</f>
        <v/>
      </c>
      <c r="D29" s="6">
        <f>Data!D29</f>
        <v/>
      </c>
      <c r="E29" s="6">
        <f>Data!E29</f>
        <v/>
      </c>
    </row>
    <row r="30">
      <c r="B30" s="7">
        <f>Data!B30</f>
        <v/>
      </c>
      <c r="C30" s="8">
        <f>Data!C30</f>
        <v/>
      </c>
      <c r="D30" s="8">
        <f>Data!D30</f>
        <v/>
      </c>
      <c r="E30" s="8">
        <f>Data!E30</f>
        <v/>
      </c>
    </row>
    <row r="31">
      <c r="B31" s="5">
        <f>Data!B31</f>
        <v/>
      </c>
      <c r="C31" s="6">
        <f>Data!C31</f>
        <v/>
      </c>
      <c r="D31" s="6">
        <f>Data!D31</f>
        <v/>
      </c>
      <c r="E31" s="6">
        <f>Data!E31</f>
        <v/>
      </c>
    </row>
    <row r="32">
      <c r="B32" s="7">
        <f>Data!B32</f>
        <v/>
      </c>
      <c r="C32" s="8">
        <f>Data!C32</f>
        <v/>
      </c>
      <c r="D32" s="8">
        <f>Data!D32</f>
        <v/>
      </c>
      <c r="E32" s="8">
        <f>Data!E32</f>
        <v/>
      </c>
    </row>
    <row r="33">
      <c r="B33" s="5">
        <f>Data!B33</f>
        <v/>
      </c>
      <c r="C33" s="6">
        <f>Data!C33</f>
        <v/>
      </c>
      <c r="D33" s="6">
        <f>Data!D33</f>
        <v/>
      </c>
      <c r="E33" s="6">
        <f>Data!E33</f>
        <v/>
      </c>
    </row>
    <row r="34">
      <c r="B34" s="7">
        <f>Data!B34</f>
        <v/>
      </c>
      <c r="C34" s="8">
        <f>Data!C34</f>
        <v/>
      </c>
      <c r="D34" s="8">
        <f>Data!D34</f>
        <v/>
      </c>
      <c r="E34" s="8">
        <f>Data!E34</f>
        <v/>
      </c>
    </row>
    <row r="35">
      <c r="B35" s="5">
        <f>Data!B35</f>
        <v/>
      </c>
      <c r="C35" s="6">
        <f>Data!C35</f>
        <v/>
      </c>
      <c r="D35" s="6">
        <f>Data!D35</f>
        <v/>
      </c>
      <c r="E35" s="6">
        <f>Data!E35</f>
        <v/>
      </c>
    </row>
    <row r="36">
      <c r="B36" s="7">
        <f>Data!B36</f>
        <v/>
      </c>
      <c r="C36" s="8">
        <f>Data!C36</f>
        <v/>
      </c>
      <c r="D36" s="8">
        <f>Data!D36</f>
        <v/>
      </c>
      <c r="E36" s="8">
        <f>Data!E36</f>
        <v/>
      </c>
    </row>
    <row r="37">
      <c r="B37" s="5">
        <f>Data!B37</f>
        <v/>
      </c>
      <c r="C37" s="6">
        <f>Data!C37</f>
        <v/>
      </c>
      <c r="D37" s="6">
        <f>Data!D37</f>
        <v/>
      </c>
      <c r="E37" s="6">
        <f>Data!E37</f>
        <v/>
      </c>
    </row>
    <row r="38">
      <c r="B38" s="7">
        <f>Data!B38</f>
        <v/>
      </c>
      <c r="C38" s="8">
        <f>Data!C38</f>
        <v/>
      </c>
      <c r="D38" s="8">
        <f>Data!D38</f>
        <v/>
      </c>
      <c r="E38" s="8">
        <f>Data!E38</f>
        <v/>
      </c>
    </row>
    <row r="40">
      <c r="B40" s="9" t="inlineStr">
        <is>
          <t>Source: RIAA U.S. Music Revenue Database · revenues adjusted for inflation to 2019 dollars</t>
        </is>
      </c>
    </row>
  </sheetData>
  <mergeCells count="1"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</cols>
  <sheetData>
    <row r="2" ht="24" customHeight="1">
      <c r="B2" s="1" t="inlineStr">
        <is>
          <t>U.S. Music Revenue</t>
        </is>
      </c>
    </row>
    <row r="3">
      <c r="B3" s="2" t="inlineStr">
        <is>
          <t>Physical and digital revenue, $ billions, adjusted to 2019 dollars. The shape is visible — the point is not yet made.</t>
        </is>
      </c>
    </row>
    <row r="8" ht="20" customHeight="1">
      <c r="B8" s="4" t="inlineStr">
        <is>
          <t>Year</t>
        </is>
      </c>
      <c r="C8" s="4" t="inlineStr">
        <is>
          <t>Physical</t>
        </is>
      </c>
      <c r="D8" s="4" t="inlineStr">
        <is>
          <t>Digital</t>
        </is>
      </c>
      <c r="E8" s="4" t="inlineStr">
        <is>
          <t>Total</t>
        </is>
      </c>
    </row>
    <row r="9">
      <c r="B9" s="5">
        <f>Data!B9</f>
        <v/>
      </c>
      <c r="C9" s="6">
        <f>Data!C9</f>
        <v/>
      </c>
      <c r="D9" s="6">
        <f>Data!D9</f>
        <v/>
      </c>
      <c r="E9" s="6">
        <f>Data!E9</f>
        <v/>
      </c>
    </row>
    <row r="10">
      <c r="B10" s="5">
        <f>Data!B10</f>
        <v/>
      </c>
      <c r="C10" s="6">
        <f>Data!C10</f>
        <v/>
      </c>
      <c r="D10" s="6">
        <f>Data!D10</f>
        <v/>
      </c>
      <c r="E10" s="6">
        <f>Data!E10</f>
        <v/>
      </c>
    </row>
    <row r="11">
      <c r="B11" s="5">
        <f>Data!B11</f>
        <v/>
      </c>
      <c r="C11" s="6">
        <f>Data!C11</f>
        <v/>
      </c>
      <c r="D11" s="6">
        <f>Data!D11</f>
        <v/>
      </c>
      <c r="E11" s="6">
        <f>Data!E11</f>
        <v/>
      </c>
    </row>
    <row r="12">
      <c r="B12" s="5">
        <f>Data!B12</f>
        <v/>
      </c>
      <c r="C12" s="6">
        <f>Data!C12</f>
        <v/>
      </c>
      <c r="D12" s="6">
        <f>Data!D12</f>
        <v/>
      </c>
      <c r="E12" s="6">
        <f>Data!E12</f>
        <v/>
      </c>
    </row>
    <row r="13">
      <c r="B13" s="5">
        <f>Data!B13</f>
        <v/>
      </c>
      <c r="C13" s="6">
        <f>Data!C13</f>
        <v/>
      </c>
      <c r="D13" s="6">
        <f>Data!D13</f>
        <v/>
      </c>
      <c r="E13" s="6">
        <f>Data!E13</f>
        <v/>
      </c>
    </row>
    <row r="14">
      <c r="B14" s="5">
        <f>Data!B14</f>
        <v/>
      </c>
      <c r="C14" s="6">
        <f>Data!C14</f>
        <v/>
      </c>
      <c r="D14" s="6">
        <f>Data!D14</f>
        <v/>
      </c>
      <c r="E14" s="6">
        <f>Data!E14</f>
        <v/>
      </c>
    </row>
    <row r="15">
      <c r="B15" s="5">
        <f>Data!B15</f>
        <v/>
      </c>
      <c r="C15" s="6">
        <f>Data!C15</f>
        <v/>
      </c>
      <c r="D15" s="6">
        <f>Data!D15</f>
        <v/>
      </c>
      <c r="E15" s="6">
        <f>Data!E15</f>
        <v/>
      </c>
    </row>
    <row r="16">
      <c r="B16" s="5">
        <f>Data!B16</f>
        <v/>
      </c>
      <c r="C16" s="6">
        <f>Data!C16</f>
        <v/>
      </c>
      <c r="D16" s="6">
        <f>Data!D16</f>
        <v/>
      </c>
      <c r="E16" s="6">
        <f>Data!E16</f>
        <v/>
      </c>
    </row>
    <row r="17">
      <c r="B17" s="5">
        <f>Data!B17</f>
        <v/>
      </c>
      <c r="C17" s="6">
        <f>Data!C17</f>
        <v/>
      </c>
      <c r="D17" s="6">
        <f>Data!D17</f>
        <v/>
      </c>
      <c r="E17" s="6">
        <f>Data!E17</f>
        <v/>
      </c>
    </row>
    <row r="18">
      <c r="B18" s="5">
        <f>Data!B18</f>
        <v/>
      </c>
      <c r="C18" s="6">
        <f>Data!C18</f>
        <v/>
      </c>
      <c r="D18" s="6">
        <f>Data!D18</f>
        <v/>
      </c>
      <c r="E18" s="6">
        <f>Data!E18</f>
        <v/>
      </c>
    </row>
    <row r="19">
      <c r="B19" s="5">
        <f>Data!B19</f>
        <v/>
      </c>
      <c r="C19" s="6">
        <f>Data!C19</f>
        <v/>
      </c>
      <c r="D19" s="6">
        <f>Data!D19</f>
        <v/>
      </c>
      <c r="E19" s="6">
        <f>Data!E19</f>
        <v/>
      </c>
    </row>
    <row r="20">
      <c r="B20" s="5">
        <f>Data!B20</f>
        <v/>
      </c>
      <c r="C20" s="6">
        <f>Data!C20</f>
        <v/>
      </c>
      <c r="D20" s="6">
        <f>Data!D20</f>
        <v/>
      </c>
      <c r="E20" s="6">
        <f>Data!E20</f>
        <v/>
      </c>
    </row>
    <row r="21">
      <c r="B21" s="5">
        <f>Data!B21</f>
        <v/>
      </c>
      <c r="C21" s="6">
        <f>Data!C21</f>
        <v/>
      </c>
      <c r="D21" s="6">
        <f>Data!D21</f>
        <v/>
      </c>
      <c r="E21" s="6">
        <f>Data!E21</f>
        <v/>
      </c>
    </row>
    <row r="22">
      <c r="B22" s="5">
        <f>Data!B22</f>
        <v/>
      </c>
      <c r="C22" s="6">
        <f>Data!C22</f>
        <v/>
      </c>
      <c r="D22" s="6">
        <f>Data!D22</f>
        <v/>
      </c>
      <c r="E22" s="6">
        <f>Data!E22</f>
        <v/>
      </c>
    </row>
    <row r="23">
      <c r="B23" s="5">
        <f>Data!B23</f>
        <v/>
      </c>
      <c r="C23" s="6">
        <f>Data!C23</f>
        <v/>
      </c>
      <c r="D23" s="6">
        <f>Data!D23</f>
        <v/>
      </c>
      <c r="E23" s="6">
        <f>Data!E23</f>
        <v/>
      </c>
    </row>
    <row r="24">
      <c r="B24" s="5">
        <f>Data!B24</f>
        <v/>
      </c>
      <c r="C24" s="6">
        <f>Data!C24</f>
        <v/>
      </c>
      <c r="D24" s="6">
        <f>Data!D24</f>
        <v/>
      </c>
      <c r="E24" s="6">
        <f>Data!E24</f>
        <v/>
      </c>
    </row>
    <row r="25">
      <c r="B25" s="5">
        <f>Data!B25</f>
        <v/>
      </c>
      <c r="C25" s="6">
        <f>Data!C25</f>
        <v/>
      </c>
      <c r="D25" s="6">
        <f>Data!D25</f>
        <v/>
      </c>
      <c r="E25" s="6">
        <f>Data!E25</f>
        <v/>
      </c>
    </row>
    <row r="26">
      <c r="B26" s="5">
        <f>Data!B26</f>
        <v/>
      </c>
      <c r="C26" s="6">
        <f>Data!C26</f>
        <v/>
      </c>
      <c r="D26" s="6">
        <f>Data!D26</f>
        <v/>
      </c>
      <c r="E26" s="6">
        <f>Data!E26</f>
        <v/>
      </c>
    </row>
    <row r="27">
      <c r="B27" s="5">
        <f>Data!B27</f>
        <v/>
      </c>
      <c r="C27" s="6">
        <f>Data!C27</f>
        <v/>
      </c>
      <c r="D27" s="6">
        <f>Data!D27</f>
        <v/>
      </c>
      <c r="E27" s="6">
        <f>Data!E27</f>
        <v/>
      </c>
    </row>
    <row r="28">
      <c r="B28" s="5">
        <f>Data!B28</f>
        <v/>
      </c>
      <c r="C28" s="6">
        <f>Data!C28</f>
        <v/>
      </c>
      <c r="D28" s="6">
        <f>Data!D28</f>
        <v/>
      </c>
      <c r="E28" s="6">
        <f>Data!E28</f>
        <v/>
      </c>
    </row>
    <row r="29">
      <c r="B29" s="5">
        <f>Data!B29</f>
        <v/>
      </c>
      <c r="C29" s="6">
        <f>Data!C29</f>
        <v/>
      </c>
      <c r="D29" s="6">
        <f>Data!D29</f>
        <v/>
      </c>
      <c r="E29" s="6">
        <f>Data!E29</f>
        <v/>
      </c>
    </row>
    <row r="30">
      <c r="B30" s="5">
        <f>Data!B30</f>
        <v/>
      </c>
      <c r="C30" s="6">
        <f>Data!C30</f>
        <v/>
      </c>
      <c r="D30" s="6">
        <f>Data!D30</f>
        <v/>
      </c>
      <c r="E30" s="6">
        <f>Data!E30</f>
        <v/>
      </c>
    </row>
    <row r="31">
      <c r="B31" s="5">
        <f>Data!B31</f>
        <v/>
      </c>
      <c r="C31" s="6">
        <f>Data!C31</f>
        <v/>
      </c>
      <c r="D31" s="6">
        <f>Data!D31</f>
        <v/>
      </c>
      <c r="E31" s="6">
        <f>Data!E31</f>
        <v/>
      </c>
    </row>
    <row r="32">
      <c r="B32" s="5">
        <f>Data!B32</f>
        <v/>
      </c>
      <c r="C32" s="6">
        <f>Data!C32</f>
        <v/>
      </c>
      <c r="D32" s="6">
        <f>Data!D32</f>
        <v/>
      </c>
      <c r="E32" s="6">
        <f>Data!E32</f>
        <v/>
      </c>
    </row>
    <row r="33">
      <c r="B33" s="5">
        <f>Data!B33</f>
        <v/>
      </c>
      <c r="C33" s="6">
        <f>Data!C33</f>
        <v/>
      </c>
      <c r="D33" s="6">
        <f>Data!D33</f>
        <v/>
      </c>
      <c r="E33" s="6">
        <f>Data!E33</f>
        <v/>
      </c>
    </row>
    <row r="34">
      <c r="B34" s="5">
        <f>Data!B34</f>
        <v/>
      </c>
      <c r="C34" s="6">
        <f>Data!C34</f>
        <v/>
      </c>
      <c r="D34" s="6">
        <f>Data!D34</f>
        <v/>
      </c>
      <c r="E34" s="6">
        <f>Data!E34</f>
        <v/>
      </c>
    </row>
    <row r="35">
      <c r="B35" s="5">
        <f>Data!B35</f>
        <v/>
      </c>
      <c r="C35" s="6">
        <f>Data!C35</f>
        <v/>
      </c>
      <c r="D35" s="6">
        <f>Data!D35</f>
        <v/>
      </c>
      <c r="E35" s="6">
        <f>Data!E35</f>
        <v/>
      </c>
    </row>
    <row r="36">
      <c r="B36" s="5">
        <f>Data!B36</f>
        <v/>
      </c>
      <c r="C36" s="6">
        <f>Data!C36</f>
        <v/>
      </c>
      <c r="D36" s="6">
        <f>Data!D36</f>
        <v/>
      </c>
      <c r="E36" s="6">
        <f>Data!E36</f>
        <v/>
      </c>
    </row>
    <row r="37">
      <c r="B37" s="5">
        <f>Data!B37</f>
        <v/>
      </c>
      <c r="C37" s="6">
        <f>Data!C37</f>
        <v/>
      </c>
      <c r="D37" s="6">
        <f>Data!D37</f>
        <v/>
      </c>
      <c r="E37" s="6">
        <f>Data!E37</f>
        <v/>
      </c>
    </row>
    <row r="38">
      <c r="B38" s="5">
        <f>Data!B38</f>
        <v/>
      </c>
      <c r="C38" s="6">
        <f>Data!C38</f>
        <v/>
      </c>
      <c r="D38" s="6">
        <f>Data!D38</f>
        <v/>
      </c>
      <c r="E38" s="6">
        <f>Data!E38</f>
        <v/>
      </c>
    </row>
    <row r="40">
      <c r="B40" s="9" t="inlineStr">
        <is>
          <t>Source: RIAA U.S. Music Revenue Database · revenues adjusted for inflation to 2019 dollars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</cols>
  <sheetData>
    <row r="2" ht="24" customHeight="1">
      <c r="B2" s="1" t="inlineStr">
        <is>
          <t>Digital revenue climbed steadily with more internet adoption</t>
        </is>
      </c>
    </row>
    <row r="3">
      <c r="B3" s="2" t="inlineStr">
        <is>
          <t>However, the music industry shrunk 50% comparing to 1999</t>
        </is>
      </c>
    </row>
    <row r="8" ht="20" customHeight="1">
      <c r="B8" s="4" t="inlineStr">
        <is>
          <t>Year</t>
        </is>
      </c>
      <c r="C8" s="4" t="inlineStr">
        <is>
          <t>PHYSICAL</t>
        </is>
      </c>
      <c r="D8" s="4" t="inlineStr">
        <is>
          <t>DIGITAL</t>
        </is>
      </c>
      <c r="E8" s="4" t="inlineStr">
        <is>
          <t>Total</t>
        </is>
      </c>
    </row>
    <row r="9">
      <c r="B9" s="5">
        <f>Data!B9</f>
        <v/>
      </c>
      <c r="C9" s="6">
        <f>Data!C9</f>
        <v/>
      </c>
      <c r="D9" s="6">
        <f>Data!D9</f>
        <v/>
      </c>
      <c r="E9" s="6">
        <f>Data!E9</f>
        <v/>
      </c>
    </row>
    <row r="10">
      <c r="B10" s="5">
        <f>Data!B10</f>
        <v/>
      </c>
      <c r="C10" s="6">
        <f>Data!C10</f>
        <v/>
      </c>
      <c r="D10" s="6">
        <f>Data!D10</f>
        <v/>
      </c>
      <c r="E10" s="6">
        <f>Data!E10</f>
        <v/>
      </c>
    </row>
    <row r="11">
      <c r="B11" s="5">
        <f>Data!B11</f>
        <v/>
      </c>
      <c r="C11" s="6">
        <f>Data!C11</f>
        <v/>
      </c>
      <c r="D11" s="6">
        <f>Data!D11</f>
        <v/>
      </c>
      <c r="E11" s="6">
        <f>Data!E11</f>
        <v/>
      </c>
    </row>
    <row r="12">
      <c r="B12" s="5">
        <f>Data!B12</f>
        <v/>
      </c>
      <c r="C12" s="6">
        <f>Data!C12</f>
        <v/>
      </c>
      <c r="D12" s="6">
        <f>Data!D12</f>
        <v/>
      </c>
      <c r="E12" s="6">
        <f>Data!E12</f>
        <v/>
      </c>
    </row>
    <row r="13">
      <c r="B13" s="5">
        <f>Data!B13</f>
        <v/>
      </c>
      <c r="C13" s="6">
        <f>Data!C13</f>
        <v/>
      </c>
      <c r="D13" s="6">
        <f>Data!D13</f>
        <v/>
      </c>
      <c r="E13" s="6">
        <f>Data!E13</f>
        <v/>
      </c>
    </row>
    <row r="14">
      <c r="B14" s="5">
        <f>Data!B14</f>
        <v/>
      </c>
      <c r="C14" s="6">
        <f>Data!C14</f>
        <v/>
      </c>
      <c r="D14" s="6">
        <f>Data!D14</f>
        <v/>
      </c>
      <c r="E14" s="6">
        <f>Data!E14</f>
        <v/>
      </c>
    </row>
    <row r="15">
      <c r="B15" s="5">
        <f>Data!B15</f>
        <v/>
      </c>
      <c r="C15" s="6">
        <f>Data!C15</f>
        <v/>
      </c>
      <c r="D15" s="6">
        <f>Data!D15</f>
        <v/>
      </c>
      <c r="E15" s="6">
        <f>Data!E15</f>
        <v/>
      </c>
    </row>
    <row r="16">
      <c r="B16" s="5">
        <f>Data!B16</f>
        <v/>
      </c>
      <c r="C16" s="6">
        <f>Data!C16</f>
        <v/>
      </c>
      <c r="D16" s="6">
        <f>Data!D16</f>
        <v/>
      </c>
      <c r="E16" s="6">
        <f>Data!E16</f>
        <v/>
      </c>
    </row>
    <row r="17">
      <c r="B17" s="5">
        <f>Data!B17</f>
        <v/>
      </c>
      <c r="C17" s="6">
        <f>Data!C17</f>
        <v/>
      </c>
      <c r="D17" s="6">
        <f>Data!D17</f>
        <v/>
      </c>
      <c r="E17" s="6">
        <f>Data!E17</f>
        <v/>
      </c>
    </row>
    <row r="18">
      <c r="B18" s="5">
        <f>Data!B18</f>
        <v/>
      </c>
      <c r="C18" s="6">
        <f>Data!C18</f>
        <v/>
      </c>
      <c r="D18" s="6">
        <f>Data!D18</f>
        <v/>
      </c>
      <c r="E18" s="6">
        <f>Data!E18</f>
        <v/>
      </c>
    </row>
    <row r="19">
      <c r="B19" s="5">
        <f>Data!B19</f>
        <v/>
      </c>
      <c r="C19" s="6">
        <f>Data!C19</f>
        <v/>
      </c>
      <c r="D19" s="6">
        <f>Data!D19</f>
        <v/>
      </c>
      <c r="E19" s="6">
        <f>Data!E19</f>
        <v/>
      </c>
    </row>
    <row r="20">
      <c r="B20" s="5">
        <f>Data!B20</f>
        <v/>
      </c>
      <c r="C20" s="6">
        <f>Data!C20</f>
        <v/>
      </c>
      <c r="D20" s="6">
        <f>Data!D20</f>
        <v/>
      </c>
      <c r="E20" s="6">
        <f>Data!E20</f>
        <v/>
      </c>
    </row>
    <row r="21">
      <c r="B21" s="5">
        <f>Data!B21</f>
        <v/>
      </c>
      <c r="C21" s="6">
        <f>Data!C21</f>
        <v/>
      </c>
      <c r="D21" s="6">
        <f>Data!D21</f>
        <v/>
      </c>
      <c r="E21" s="6">
        <f>Data!E21</f>
        <v/>
      </c>
    </row>
    <row r="22">
      <c r="B22" s="5">
        <f>Data!B22</f>
        <v/>
      </c>
      <c r="C22" s="6">
        <f>Data!C22</f>
        <v/>
      </c>
      <c r="D22" s="6">
        <f>Data!D22</f>
        <v/>
      </c>
      <c r="E22" s="6">
        <f>Data!E22</f>
        <v/>
      </c>
    </row>
    <row r="23">
      <c r="B23" s="5">
        <f>Data!B23</f>
        <v/>
      </c>
      <c r="C23" s="6">
        <f>Data!C23</f>
        <v/>
      </c>
      <c r="D23" s="6">
        <f>Data!D23</f>
        <v/>
      </c>
      <c r="E23" s="6">
        <f>Data!E23</f>
        <v/>
      </c>
    </row>
    <row r="24">
      <c r="B24" s="5">
        <f>Data!B24</f>
        <v/>
      </c>
      <c r="C24" s="6">
        <f>Data!C24</f>
        <v/>
      </c>
      <c r="D24" s="6">
        <f>Data!D24</f>
        <v/>
      </c>
      <c r="E24" s="6">
        <f>Data!E24</f>
        <v/>
      </c>
    </row>
    <row r="25">
      <c r="B25" s="5">
        <f>Data!B25</f>
        <v/>
      </c>
      <c r="C25" s="6">
        <f>Data!C25</f>
        <v/>
      </c>
      <c r="D25" s="6">
        <f>Data!D25</f>
        <v/>
      </c>
      <c r="E25" s="6">
        <f>Data!E25</f>
        <v/>
      </c>
    </row>
    <row r="26">
      <c r="B26" s="5">
        <f>Data!B26</f>
        <v/>
      </c>
      <c r="C26" s="6">
        <f>Data!C26</f>
        <v/>
      </c>
      <c r="D26" s="6">
        <f>Data!D26</f>
        <v/>
      </c>
      <c r="E26" s="6">
        <f>Data!E26</f>
        <v/>
      </c>
    </row>
    <row r="27">
      <c r="B27" s="5">
        <f>Data!B27</f>
        <v/>
      </c>
      <c r="C27" s="6">
        <f>Data!C27</f>
        <v/>
      </c>
      <c r="D27" s="6">
        <f>Data!D27</f>
        <v/>
      </c>
      <c r="E27" s="6">
        <f>Data!E27</f>
        <v/>
      </c>
    </row>
    <row r="28">
      <c r="B28" s="5">
        <f>Data!B28</f>
        <v/>
      </c>
      <c r="C28" s="6">
        <f>Data!C28</f>
        <v/>
      </c>
      <c r="D28" s="6">
        <f>Data!D28</f>
        <v/>
      </c>
      <c r="E28" s="6">
        <f>Data!E28</f>
        <v/>
      </c>
    </row>
    <row r="29">
      <c r="B29" s="5">
        <f>Data!B29</f>
        <v/>
      </c>
      <c r="C29" s="6">
        <f>Data!C29</f>
        <v/>
      </c>
      <c r="D29" s="6">
        <f>Data!D29</f>
        <v/>
      </c>
      <c r="E29" s="6">
        <f>Data!E29</f>
        <v/>
      </c>
    </row>
    <row r="30">
      <c r="B30" s="5">
        <f>Data!B30</f>
        <v/>
      </c>
      <c r="C30" s="6">
        <f>Data!C30</f>
        <v/>
      </c>
      <c r="D30" s="6">
        <f>Data!D30</f>
        <v/>
      </c>
      <c r="E30" s="6">
        <f>Data!E30</f>
        <v/>
      </c>
    </row>
    <row r="31">
      <c r="B31" s="5">
        <f>Data!B31</f>
        <v/>
      </c>
      <c r="C31" s="6">
        <f>Data!C31</f>
        <v/>
      </c>
      <c r="D31" s="6">
        <f>Data!D31</f>
        <v/>
      </c>
      <c r="E31" s="6">
        <f>Data!E31</f>
        <v/>
      </c>
    </row>
    <row r="32">
      <c r="B32" s="5">
        <f>Data!B32</f>
        <v/>
      </c>
      <c r="C32" s="6">
        <f>Data!C32</f>
        <v/>
      </c>
      <c r="D32" s="6">
        <f>Data!D32</f>
        <v/>
      </c>
      <c r="E32" s="6">
        <f>Data!E32</f>
        <v/>
      </c>
    </row>
    <row r="33">
      <c r="B33" s="5">
        <f>Data!B33</f>
        <v/>
      </c>
      <c r="C33" s="6">
        <f>Data!C33</f>
        <v/>
      </c>
      <c r="D33" s="6">
        <f>Data!D33</f>
        <v/>
      </c>
      <c r="E33" s="6">
        <f>Data!E33</f>
        <v/>
      </c>
    </row>
    <row r="34">
      <c r="B34" s="5">
        <f>Data!B34</f>
        <v/>
      </c>
      <c r="C34" s="6">
        <f>Data!C34</f>
        <v/>
      </c>
      <c r="D34" s="6">
        <f>Data!D34</f>
        <v/>
      </c>
      <c r="E34" s="6">
        <f>Data!E34</f>
        <v/>
      </c>
    </row>
    <row r="35">
      <c r="B35" s="5">
        <f>Data!B35</f>
        <v/>
      </c>
      <c r="C35" s="6">
        <f>Data!C35</f>
        <v/>
      </c>
      <c r="D35" s="6">
        <f>Data!D35</f>
        <v/>
      </c>
      <c r="E35" s="6">
        <f>Data!E35</f>
        <v/>
      </c>
    </row>
    <row r="36">
      <c r="B36" s="5">
        <f>Data!B36</f>
        <v/>
      </c>
      <c r="C36" s="6">
        <f>Data!C36</f>
        <v/>
      </c>
      <c r="D36" s="6">
        <f>Data!D36</f>
        <v/>
      </c>
      <c r="E36" s="6">
        <f>Data!E36</f>
        <v/>
      </c>
    </row>
    <row r="37">
      <c r="B37" s="5">
        <f>Data!B37</f>
        <v/>
      </c>
      <c r="C37" s="6">
        <f>Data!C37</f>
        <v/>
      </c>
      <c r="D37" s="6">
        <f>Data!D37</f>
        <v/>
      </c>
      <c r="E37" s="6">
        <f>Data!E37</f>
        <v/>
      </c>
    </row>
    <row r="38">
      <c r="B38" s="5">
        <f>Data!B38</f>
        <v/>
      </c>
      <c r="C38" s="6">
        <f>Data!C38</f>
        <v/>
      </c>
      <c r="D38" s="6">
        <f>Data!D38</f>
        <v/>
      </c>
      <c r="E38" s="6">
        <f>Data!E38</f>
        <v/>
      </c>
    </row>
    <row r="42">
      <c r="B42" s="10" t="inlineStr">
        <is>
          <t>iTunes Store opens (2003)</t>
        </is>
      </c>
      <c r="C42" s="11" t="n">
        <v>14</v>
      </c>
      <c r="D42" s="11" t="n">
        <v>0</v>
      </c>
    </row>
    <row r="43">
      <c r="C43" s="11" t="n">
        <v>14</v>
      </c>
      <c r="D43" s="11" t="n">
        <v>0.8</v>
      </c>
    </row>
    <row r="45">
      <c r="B45" s="10">
        <f>TEXT(E18/1000,"$0.0")&amp;"B"</f>
        <v/>
      </c>
      <c r="C45" s="12" t="n">
        <v>10</v>
      </c>
      <c r="D45" s="12">
        <f>E18/25000</f>
        <v/>
      </c>
    </row>
    <row r="46">
      <c r="B46" s="10">
        <f>TEXT(E38/1000,"$0.0")&amp;"B"</f>
        <v/>
      </c>
      <c r="C46" s="12" t="n">
        <v>30</v>
      </c>
      <c r="D46" s="12">
        <f>E38/25000</f>
        <v/>
      </c>
    </row>
    <row r="47">
      <c r="B47" s="10">
        <f>TEXT(B38,"0")</f>
        <v/>
      </c>
      <c r="C47" s="12" t="n">
        <v>30</v>
      </c>
      <c r="D47" s="12" t="n">
        <v>0</v>
      </c>
    </row>
    <row r="49">
      <c r="B49" s="9" t="inlineStr">
        <is>
          <t>Source: RIAA U.S. Music Revenue Database · revenues adjusted for inflation to 2019 dollars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2" ht="24" customHeight="1">
      <c r="B2" s="1" t="inlineStr">
        <is>
          <t>Digital revenue climbed steadily with more internet adoption</t>
        </is>
      </c>
    </row>
    <row r="3">
      <c r="B3" s="2" t="inlineStr">
        <is>
          <t>However, the music industry shrunk 50% comparing to 1999</t>
        </is>
      </c>
    </row>
    <row r="8" ht="20" customHeight="1">
      <c r="B8" s="4" t="inlineStr">
        <is>
          <t>Year</t>
        </is>
      </c>
      <c r="C8" s="4" t="inlineStr">
        <is>
          <t>PHYSICAL</t>
        </is>
      </c>
      <c r="D8" s="4" t="inlineStr">
        <is>
          <t>DIGITAL</t>
        </is>
      </c>
      <c r="E8" s="4" t="inlineStr">
        <is>
          <t>Total</t>
        </is>
      </c>
      <c r="F8" s="4" t="inlineStr">
        <is>
          <t>Internet %</t>
        </is>
      </c>
      <c r="G8" s="4" t="inlineStr">
        <is>
          <t>Smartphone %</t>
        </is>
      </c>
      <c r="H8" t="inlineStr">
        <is>
          <t>Year tick</t>
        </is>
      </c>
    </row>
    <row r="9">
      <c r="B9" s="5">
        <f>Data!B9</f>
        <v/>
      </c>
      <c r="C9" s="6">
        <f>Data!C9</f>
        <v/>
      </c>
      <c r="D9" s="6">
        <f>Data!D9</f>
        <v/>
      </c>
      <c r="E9" s="6">
        <f>Data!E9</f>
        <v/>
      </c>
      <c r="F9" s="13">
        <f>Data!F9</f>
        <v/>
      </c>
    </row>
    <row r="10">
      <c r="B10" s="5">
        <f>Data!B10</f>
        <v/>
      </c>
      <c r="C10" s="6">
        <f>Data!C10</f>
        <v/>
      </c>
      <c r="D10" s="6">
        <f>Data!D10</f>
        <v/>
      </c>
      <c r="E10" s="6">
        <f>Data!E10</f>
        <v/>
      </c>
      <c r="F10" s="13">
        <f>Data!F10</f>
        <v/>
      </c>
    </row>
    <row r="11">
      <c r="B11" s="5">
        <f>Data!B11</f>
        <v/>
      </c>
      <c r="C11" s="6">
        <f>Data!C11</f>
        <v/>
      </c>
      <c r="D11" s="6">
        <f>Data!D11</f>
        <v/>
      </c>
      <c r="E11" s="6">
        <f>Data!E11</f>
        <v/>
      </c>
      <c r="F11" s="13">
        <f>Data!F11</f>
        <v/>
      </c>
    </row>
    <row r="12">
      <c r="B12" s="5">
        <f>Data!B12</f>
        <v/>
      </c>
      <c r="C12" s="6">
        <f>Data!C12</f>
        <v/>
      </c>
      <c r="D12" s="6">
        <f>Data!D12</f>
        <v/>
      </c>
      <c r="E12" s="6">
        <f>Data!E12</f>
        <v/>
      </c>
      <c r="F12" s="13">
        <f>Data!F12</f>
        <v/>
      </c>
    </row>
    <row r="13">
      <c r="B13" s="5">
        <f>Data!B13</f>
        <v/>
      </c>
      <c r="C13" s="6">
        <f>Data!C13</f>
        <v/>
      </c>
      <c r="D13" s="6">
        <f>Data!D13</f>
        <v/>
      </c>
      <c r="E13" s="6">
        <f>Data!E13</f>
        <v/>
      </c>
      <c r="F13" s="13">
        <f>Data!F13</f>
        <v/>
      </c>
    </row>
    <row r="14">
      <c r="B14" s="5">
        <f>Data!B14</f>
        <v/>
      </c>
      <c r="C14" s="6">
        <f>Data!C14</f>
        <v/>
      </c>
      <c r="D14" s="6">
        <f>Data!D14</f>
        <v/>
      </c>
      <c r="E14" s="6">
        <f>Data!E14</f>
        <v/>
      </c>
      <c r="F14" s="13">
        <f>Data!F14</f>
        <v/>
      </c>
    </row>
    <row r="15">
      <c r="B15" s="5">
        <f>Data!B15</f>
        <v/>
      </c>
      <c r="C15" s="6">
        <f>Data!C15</f>
        <v/>
      </c>
      <c r="D15" s="6">
        <f>Data!D15</f>
        <v/>
      </c>
      <c r="E15" s="6">
        <f>Data!E15</f>
        <v/>
      </c>
      <c r="F15" s="13">
        <f>Data!F15</f>
        <v/>
      </c>
    </row>
    <row r="16">
      <c r="B16" s="5">
        <f>Data!B16</f>
        <v/>
      </c>
      <c r="C16" s="6">
        <f>Data!C16</f>
        <v/>
      </c>
      <c r="D16" s="6">
        <f>Data!D16</f>
        <v/>
      </c>
      <c r="E16" s="6">
        <f>Data!E16</f>
        <v/>
      </c>
      <c r="F16" s="13">
        <f>Data!F16</f>
        <v/>
      </c>
    </row>
    <row r="17">
      <c r="B17" s="5">
        <f>Data!B17</f>
        <v/>
      </c>
      <c r="C17" s="6">
        <f>Data!C17</f>
        <v/>
      </c>
      <c r="D17" s="6">
        <f>Data!D17</f>
        <v/>
      </c>
      <c r="E17" s="6">
        <f>Data!E17</f>
        <v/>
      </c>
      <c r="F17" s="13">
        <f>Data!F17</f>
        <v/>
      </c>
    </row>
    <row r="18">
      <c r="B18" s="5">
        <f>Data!B18</f>
        <v/>
      </c>
      <c r="C18" s="6">
        <f>Data!C18</f>
        <v/>
      </c>
      <c r="D18" s="6">
        <f>Data!D18</f>
        <v/>
      </c>
      <c r="E18" s="6">
        <f>Data!E18</f>
        <v/>
      </c>
      <c r="F18" s="13">
        <f>Data!F18</f>
        <v/>
      </c>
    </row>
    <row r="19">
      <c r="B19" s="5">
        <f>Data!B19</f>
        <v/>
      </c>
      <c r="C19" s="6">
        <f>Data!C19</f>
        <v/>
      </c>
      <c r="D19" s="6">
        <f>Data!D19</f>
        <v/>
      </c>
      <c r="E19" s="6">
        <f>Data!E19</f>
        <v/>
      </c>
      <c r="F19" s="13">
        <f>Data!F19</f>
        <v/>
      </c>
    </row>
    <row r="20">
      <c r="B20" s="5">
        <f>Data!B20</f>
        <v/>
      </c>
      <c r="C20" s="6">
        <f>Data!C20</f>
        <v/>
      </c>
      <c r="D20" s="6">
        <f>Data!D20</f>
        <v/>
      </c>
      <c r="E20" s="6">
        <f>Data!E20</f>
        <v/>
      </c>
      <c r="F20" s="13">
        <f>Data!F20</f>
        <v/>
      </c>
    </row>
    <row r="21">
      <c r="B21" s="5">
        <f>Data!B21</f>
        <v/>
      </c>
      <c r="C21" s="6">
        <f>Data!C21</f>
        <v/>
      </c>
      <c r="D21" s="6">
        <f>Data!D21</f>
        <v/>
      </c>
      <c r="E21" s="6">
        <f>Data!E21</f>
        <v/>
      </c>
      <c r="F21" s="13">
        <f>Data!F21</f>
        <v/>
      </c>
    </row>
    <row r="22">
      <c r="B22" s="5">
        <f>Data!B22</f>
        <v/>
      </c>
      <c r="C22" s="6">
        <f>Data!C22</f>
        <v/>
      </c>
      <c r="D22" s="6">
        <f>Data!D22</f>
        <v/>
      </c>
      <c r="E22" s="6">
        <f>Data!E22</f>
        <v/>
      </c>
      <c r="F22" s="13">
        <f>Data!F22</f>
        <v/>
      </c>
    </row>
    <row r="23">
      <c r="B23" s="5">
        <f>Data!B23</f>
        <v/>
      </c>
      <c r="C23" s="6">
        <f>Data!C23</f>
        <v/>
      </c>
      <c r="D23" s="6">
        <f>Data!D23</f>
        <v/>
      </c>
      <c r="E23" s="6">
        <f>Data!E23</f>
        <v/>
      </c>
      <c r="F23" s="13">
        <f>Data!F23</f>
        <v/>
      </c>
    </row>
    <row r="24">
      <c r="B24" s="5">
        <f>Data!B24</f>
        <v/>
      </c>
      <c r="C24" s="6">
        <f>Data!C24</f>
        <v/>
      </c>
      <c r="D24" s="6">
        <f>Data!D24</f>
        <v/>
      </c>
      <c r="E24" s="6">
        <f>Data!E24</f>
        <v/>
      </c>
      <c r="F24" s="13">
        <f>Data!F24</f>
        <v/>
      </c>
    </row>
    <row r="25">
      <c r="B25" s="5">
        <f>Data!B25</f>
        <v/>
      </c>
      <c r="C25" s="6">
        <f>Data!C25</f>
        <v/>
      </c>
      <c r="D25" s="6">
        <f>Data!D25</f>
        <v/>
      </c>
      <c r="E25" s="6">
        <f>Data!E25</f>
        <v/>
      </c>
      <c r="F25" s="13">
        <f>Data!F25</f>
        <v/>
      </c>
    </row>
    <row r="26">
      <c r="B26" s="5">
        <f>Data!B26</f>
        <v/>
      </c>
      <c r="C26" s="6">
        <f>Data!C26</f>
        <v/>
      </c>
      <c r="D26" s="6">
        <f>Data!D26</f>
        <v/>
      </c>
      <c r="E26" s="6">
        <f>Data!E26</f>
        <v/>
      </c>
      <c r="F26" s="13">
        <f>Data!F26</f>
        <v/>
      </c>
    </row>
    <row r="27">
      <c r="B27" s="5">
        <f>Data!B27</f>
        <v/>
      </c>
      <c r="C27" s="6">
        <f>Data!C27</f>
        <v/>
      </c>
      <c r="D27" s="6">
        <f>Data!D27</f>
        <v/>
      </c>
      <c r="E27" s="6">
        <f>Data!E27</f>
        <v/>
      </c>
      <c r="F27" s="13">
        <f>Data!F27</f>
        <v/>
      </c>
    </row>
    <row r="28">
      <c r="B28" s="5">
        <f>Data!B28</f>
        <v/>
      </c>
      <c r="C28" s="6">
        <f>Data!C28</f>
        <v/>
      </c>
      <c r="D28" s="6">
        <f>Data!D28</f>
        <v/>
      </c>
      <c r="E28" s="6">
        <f>Data!E28</f>
        <v/>
      </c>
      <c r="F28" s="13">
        <f>Data!F28</f>
        <v/>
      </c>
    </row>
    <row r="29">
      <c r="B29" s="5">
        <f>Data!B29</f>
        <v/>
      </c>
      <c r="C29" s="6">
        <f>Data!C29</f>
        <v/>
      </c>
      <c r="D29" s="6">
        <f>Data!D29</f>
        <v/>
      </c>
      <c r="E29" s="6">
        <f>Data!E29</f>
        <v/>
      </c>
      <c r="F29" s="13">
        <f>Data!F29</f>
        <v/>
      </c>
    </row>
    <row r="30">
      <c r="B30" s="5">
        <f>Data!B30</f>
        <v/>
      </c>
      <c r="C30" s="6">
        <f>Data!C30</f>
        <v/>
      </c>
      <c r="D30" s="6">
        <f>Data!D30</f>
        <v/>
      </c>
      <c r="E30" s="6">
        <f>Data!E30</f>
        <v/>
      </c>
      <c r="F30" s="13">
        <f>Data!F30</f>
        <v/>
      </c>
      <c r="G30" s="5">
        <f>Data!G30</f>
        <v/>
      </c>
    </row>
    <row r="31">
      <c r="B31" s="5">
        <f>Data!B31</f>
        <v/>
      </c>
      <c r="C31" s="6">
        <f>Data!C31</f>
        <v/>
      </c>
      <c r="D31" s="6">
        <f>Data!D31</f>
        <v/>
      </c>
      <c r="E31" s="6">
        <f>Data!E31</f>
        <v/>
      </c>
      <c r="F31" s="13">
        <f>Data!F31</f>
        <v/>
      </c>
      <c r="G31" s="5">
        <f>Data!G31</f>
        <v/>
      </c>
    </row>
    <row r="32">
      <c r="B32" s="5">
        <f>Data!B32</f>
        <v/>
      </c>
      <c r="C32" s="6">
        <f>Data!C32</f>
        <v/>
      </c>
      <c r="D32" s="6">
        <f>Data!D32</f>
        <v/>
      </c>
      <c r="E32" s="6">
        <f>Data!E32</f>
        <v/>
      </c>
      <c r="F32" s="13">
        <f>Data!F32</f>
        <v/>
      </c>
      <c r="G32" s="5">
        <f>Data!G32</f>
        <v/>
      </c>
    </row>
    <row r="33">
      <c r="B33" s="5">
        <f>Data!B33</f>
        <v/>
      </c>
      <c r="C33" s="6">
        <f>Data!C33</f>
        <v/>
      </c>
      <c r="D33" s="6">
        <f>Data!D33</f>
        <v/>
      </c>
      <c r="E33" s="6">
        <f>Data!E33</f>
        <v/>
      </c>
      <c r="F33" s="13">
        <f>Data!F33</f>
        <v/>
      </c>
      <c r="G33" s="5">
        <f>Data!G33</f>
        <v/>
      </c>
    </row>
    <row r="34">
      <c r="B34" s="5">
        <f>Data!B34</f>
        <v/>
      </c>
      <c r="C34" s="6">
        <f>Data!C34</f>
        <v/>
      </c>
      <c r="D34" s="6">
        <f>Data!D34</f>
        <v/>
      </c>
      <c r="E34" s="6">
        <f>Data!E34</f>
        <v/>
      </c>
      <c r="F34" s="13">
        <f>Data!F34</f>
        <v/>
      </c>
      <c r="G34" s="5">
        <f>Data!G34</f>
        <v/>
      </c>
    </row>
    <row r="35">
      <c r="B35" s="5">
        <f>Data!B35</f>
        <v/>
      </c>
      <c r="C35" s="6">
        <f>Data!C35</f>
        <v/>
      </c>
      <c r="D35" s="6">
        <f>Data!D35</f>
        <v/>
      </c>
      <c r="E35" s="6">
        <f>Data!E35</f>
        <v/>
      </c>
      <c r="F35" s="13">
        <f>Data!F35</f>
        <v/>
      </c>
      <c r="G35" s="5">
        <f>Data!G35</f>
        <v/>
      </c>
    </row>
    <row r="36">
      <c r="B36" s="5">
        <f>Data!B36</f>
        <v/>
      </c>
      <c r="C36" s="6">
        <f>Data!C36</f>
        <v/>
      </c>
      <c r="D36" s="6">
        <f>Data!D36</f>
        <v/>
      </c>
      <c r="E36" s="6">
        <f>Data!E36</f>
        <v/>
      </c>
      <c r="F36" s="13">
        <f>Data!F36</f>
        <v/>
      </c>
      <c r="G36" s="5">
        <f>Data!G36</f>
        <v/>
      </c>
    </row>
    <row r="37">
      <c r="B37" s="5">
        <f>Data!B37</f>
        <v/>
      </c>
      <c r="C37" s="6">
        <f>Data!C37</f>
        <v/>
      </c>
      <c r="D37" s="6">
        <f>Data!D37</f>
        <v/>
      </c>
      <c r="E37" s="6">
        <f>Data!E37</f>
        <v/>
      </c>
      <c r="F37" s="13">
        <f>Data!F37</f>
        <v/>
      </c>
      <c r="G37" s="5">
        <f>Data!G37</f>
        <v/>
      </c>
    </row>
    <row r="38">
      <c r="B38" s="5">
        <f>Data!B38</f>
        <v/>
      </c>
      <c r="C38" s="6">
        <f>Data!C38</f>
        <v/>
      </c>
      <c r="D38" s="6">
        <f>Data!D38</f>
        <v/>
      </c>
      <c r="E38" s="6">
        <f>Data!E38</f>
        <v/>
      </c>
      <c r="F38" s="13">
        <f>Data!F38</f>
        <v/>
      </c>
      <c r="G38" s="5">
        <f>Data!G38</f>
        <v/>
      </c>
      <c r="H38" t="n">
        <v>0</v>
      </c>
    </row>
    <row r="40">
      <c r="B40" s="9" t="inlineStr">
        <is>
          <t>Source: RIAA U.S. Music Revenue Database · revenues adjusted for inflation to 2019 dollars</t>
        </is>
      </c>
    </row>
    <row r="41">
      <c r="B41" s="14" t="inlineStr">
        <is>
          <t>Adoption: World Bank / ITU, Individuals using the Internet (% of US population); Pew Research Center Mobile Fact Sheet, % of US adults owning a smartphone (from 2011)</t>
        </is>
      </c>
    </row>
    <row r="42">
      <c r="B42" s="14" t="inlineStr">
        <is>
          <t>Helper: the two line captions. Each is the series name for the chart, so the end label carries the 2019 value.</t>
        </is>
      </c>
    </row>
    <row r="43">
      <c r="B43" s="10">
        <f>"Internet "&amp;TEXT(F38,"0")&amp;"%"</f>
        <v/>
      </c>
    </row>
    <row r="44">
      <c r="B44" s="10">
        <f>"Smartphone "&amp;TEXT(G38,"0")&amp;"%"</f>
        <v/>
      </c>
    </row>
    <row r="45">
      <c r="B45" s="14" t="inlineStr">
        <is>
          <t>Helper: one zero at the last year, drawn invisibly, so its data label can print 2019 on the axis.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2" ht="24" customHeight="1">
      <c r="B2" s="1" t="inlineStr">
        <is>
          <t>Source data</t>
        </is>
      </c>
    </row>
    <row r="3">
      <c r="B3" s="2" t="inlineStr">
        <is>
          <t>RIAA U.S. music revenue by format, $ millions, adjusted to 2019 dollars</t>
        </is>
      </c>
    </row>
    <row r="8" ht="20" customHeight="1">
      <c r="B8" s="4" t="inlineStr">
        <is>
          <t>Year</t>
        </is>
      </c>
      <c r="C8" s="4" t="inlineStr">
        <is>
          <t>Physical</t>
        </is>
      </c>
      <c r="D8" s="4" t="inlineStr">
        <is>
          <t>Digital</t>
        </is>
      </c>
      <c r="E8" s="4" t="inlineStr">
        <is>
          <t>Total</t>
        </is>
      </c>
      <c r="F8" s="4" t="inlineStr">
        <is>
          <t>Internet %</t>
        </is>
      </c>
      <c r="G8" s="4" t="inlineStr">
        <is>
          <t>Smartphone %</t>
        </is>
      </c>
    </row>
    <row r="9">
      <c r="B9" s="5" t="n">
        <v>1990</v>
      </c>
      <c r="C9" s="6" t="n">
        <v>14751</v>
      </c>
      <c r="D9" s="6" t="n">
        <v>0</v>
      </c>
      <c r="E9" s="6">
        <f>C9+D9</f>
        <v/>
      </c>
      <c r="F9" s="13" t="n">
        <v>0.79</v>
      </c>
    </row>
    <row r="10">
      <c r="B10" s="5" t="n">
        <v>1991</v>
      </c>
      <c r="C10" s="6" t="n">
        <v>14705</v>
      </c>
      <c r="D10" s="6" t="n">
        <v>0</v>
      </c>
      <c r="E10" s="6">
        <f>C10+D10</f>
        <v/>
      </c>
      <c r="F10" s="13" t="n">
        <v>1.16</v>
      </c>
    </row>
    <row r="11">
      <c r="B11" s="5" t="n">
        <v>1992</v>
      </c>
      <c r="C11" s="6" t="n">
        <v>16444</v>
      </c>
      <c r="D11" s="6" t="n">
        <v>0</v>
      </c>
      <c r="E11" s="6">
        <f>C11+D11</f>
        <v/>
      </c>
      <c r="F11" s="13" t="n">
        <v>1.72</v>
      </c>
    </row>
    <row r="12">
      <c r="B12" s="5" t="n">
        <v>1993</v>
      </c>
      <c r="C12" s="6" t="n">
        <v>17775</v>
      </c>
      <c r="D12" s="6" t="n">
        <v>0</v>
      </c>
      <c r="E12" s="6">
        <f>C12+D12</f>
        <v/>
      </c>
      <c r="F12" s="13" t="n">
        <v>2.27</v>
      </c>
    </row>
    <row r="13">
      <c r="B13" s="5" t="n">
        <v>1994</v>
      </c>
      <c r="C13" s="6" t="n">
        <v>20818</v>
      </c>
      <c r="D13" s="6" t="n">
        <v>0</v>
      </c>
      <c r="E13" s="6">
        <f>C13+D13</f>
        <v/>
      </c>
      <c r="F13" s="13" t="n">
        <v>4.86</v>
      </c>
    </row>
    <row r="14">
      <c r="B14" s="5" t="n">
        <v>1995</v>
      </c>
      <c r="C14" s="6" t="n">
        <v>20668</v>
      </c>
      <c r="D14" s="6" t="n">
        <v>0</v>
      </c>
      <c r="E14" s="6">
        <f>C14+D14</f>
        <v/>
      </c>
      <c r="F14" s="13" t="n">
        <v>9.24</v>
      </c>
    </row>
    <row r="15">
      <c r="B15" s="5" t="n">
        <v>1996</v>
      </c>
      <c r="C15" s="6" t="n">
        <v>20423</v>
      </c>
      <c r="D15" s="6" t="n">
        <v>0</v>
      </c>
      <c r="E15" s="6">
        <f>C15+D15</f>
        <v/>
      </c>
      <c r="F15" s="13" t="n">
        <v>16.4</v>
      </c>
    </row>
    <row r="16">
      <c r="B16" s="5" t="n">
        <v>1997</v>
      </c>
      <c r="C16" s="6" t="n">
        <v>19492</v>
      </c>
      <c r="D16" s="6" t="n">
        <v>0</v>
      </c>
      <c r="E16" s="6">
        <f>C16+D16</f>
        <v/>
      </c>
      <c r="F16" s="13" t="n">
        <v>21.6</v>
      </c>
    </row>
    <row r="17">
      <c r="B17" s="5" t="n">
        <v>1998</v>
      </c>
      <c r="C17" s="6" t="n">
        <v>21505</v>
      </c>
      <c r="D17" s="6" t="n">
        <v>0</v>
      </c>
      <c r="E17" s="6">
        <f>C17+D17</f>
        <v/>
      </c>
      <c r="F17" s="13" t="n">
        <v>30.1</v>
      </c>
    </row>
    <row r="18">
      <c r="B18" s="5" t="n">
        <v>1999</v>
      </c>
      <c r="C18" s="6" t="n">
        <v>22381</v>
      </c>
      <c r="D18" s="6" t="n">
        <v>0</v>
      </c>
      <c r="E18" s="6">
        <f>C18+D18</f>
        <v/>
      </c>
      <c r="F18" s="13" t="n">
        <v>35.8</v>
      </c>
    </row>
    <row r="19">
      <c r="B19" s="5" t="n">
        <v>2000</v>
      </c>
      <c r="C19" s="6" t="n">
        <v>21266</v>
      </c>
      <c r="D19" s="6" t="n">
        <v>0</v>
      </c>
      <c r="E19" s="6">
        <f>C19+D19</f>
        <v/>
      </c>
      <c r="F19" s="13" t="n">
        <v>43.08</v>
      </c>
    </row>
    <row r="20">
      <c r="B20" s="5" t="n">
        <v>2001</v>
      </c>
      <c r="C20" s="6" t="n">
        <v>19836</v>
      </c>
      <c r="D20" s="6" t="n">
        <v>0</v>
      </c>
      <c r="E20" s="6">
        <f>C20+D20</f>
        <v/>
      </c>
      <c r="F20" s="13" t="n">
        <v>49.08</v>
      </c>
    </row>
    <row r="21">
      <c r="B21" s="5" t="n">
        <v>2002</v>
      </c>
      <c r="C21" s="6" t="n">
        <v>17926</v>
      </c>
      <c r="D21" s="6" t="n">
        <v>0</v>
      </c>
      <c r="E21" s="6">
        <f>C21+D21</f>
        <v/>
      </c>
      <c r="F21" s="13" t="n">
        <v>58.79</v>
      </c>
    </row>
    <row r="22">
      <c r="B22" s="5" t="n">
        <v>2003</v>
      </c>
      <c r="C22" s="6" t="n">
        <v>16471</v>
      </c>
      <c r="D22" s="6" t="n">
        <v>0</v>
      </c>
      <c r="E22" s="6">
        <f>C22+D22</f>
        <v/>
      </c>
      <c r="F22" s="13" t="n">
        <v>61.7</v>
      </c>
    </row>
    <row r="23">
      <c r="B23" s="5" t="n">
        <v>2004</v>
      </c>
      <c r="C23" s="6" t="n">
        <v>16450</v>
      </c>
      <c r="D23" s="6" t="n">
        <v>258</v>
      </c>
      <c r="E23" s="6">
        <f>C23+D23</f>
        <v/>
      </c>
      <c r="F23" s="13" t="n">
        <v>64.76000000000001</v>
      </c>
    </row>
    <row r="24">
      <c r="B24" s="5" t="n">
        <v>2005</v>
      </c>
      <c r="C24" s="6" t="n">
        <v>14655</v>
      </c>
      <c r="D24" s="6" t="n">
        <v>1433</v>
      </c>
      <c r="E24" s="6">
        <f>C24+D24</f>
        <v/>
      </c>
      <c r="F24" s="13" t="n">
        <v>67.97</v>
      </c>
    </row>
    <row r="25">
      <c r="B25" s="5" t="n">
        <v>2006</v>
      </c>
      <c r="C25" s="6" t="n">
        <v>12515</v>
      </c>
      <c r="D25" s="6" t="n">
        <v>2398</v>
      </c>
      <c r="E25" s="6">
        <f>C25+D25</f>
        <v/>
      </c>
      <c r="F25" s="13" t="n">
        <v>68.93000000000001</v>
      </c>
    </row>
    <row r="26">
      <c r="B26" s="5" t="n">
        <v>2007</v>
      </c>
      <c r="C26" s="6" t="n">
        <v>9849</v>
      </c>
      <c r="D26" s="6" t="n">
        <v>3287</v>
      </c>
      <c r="E26" s="6">
        <f>C26+D26</f>
        <v/>
      </c>
      <c r="F26" s="13" t="n">
        <v>75</v>
      </c>
    </row>
    <row r="27">
      <c r="B27" s="5" t="n">
        <v>2008</v>
      </c>
      <c r="C27" s="6" t="n">
        <v>6848</v>
      </c>
      <c r="D27" s="6" t="n">
        <v>3574</v>
      </c>
      <c r="E27" s="6">
        <f>C27+D27</f>
        <v/>
      </c>
      <c r="F27" s="13" t="n">
        <v>74</v>
      </c>
    </row>
    <row r="28">
      <c r="B28" s="5" t="n">
        <v>2009</v>
      </c>
      <c r="C28" s="6" t="n">
        <v>5484</v>
      </c>
      <c r="D28" s="6" t="n">
        <v>3848</v>
      </c>
      <c r="E28" s="6">
        <f>C28+D28</f>
        <v/>
      </c>
      <c r="F28" s="13" t="n">
        <v>71</v>
      </c>
    </row>
    <row r="29">
      <c r="B29" s="5" t="n">
        <v>2010</v>
      </c>
      <c r="C29" s="6" t="n">
        <v>4295</v>
      </c>
      <c r="D29" s="6" t="n">
        <v>3928</v>
      </c>
      <c r="E29" s="6">
        <f>C29+D29</f>
        <v/>
      </c>
      <c r="F29" s="13" t="n">
        <v>71.69</v>
      </c>
    </row>
    <row r="30">
      <c r="B30" s="5" t="n">
        <v>2011</v>
      </c>
      <c r="C30" s="6" t="n">
        <v>3843</v>
      </c>
      <c r="D30" s="6" t="n">
        <v>4267</v>
      </c>
      <c r="E30" s="6">
        <f>C30+D30</f>
        <v/>
      </c>
      <c r="F30" s="13" t="n">
        <v>69.73</v>
      </c>
      <c r="G30" s="5" t="n">
        <v>35</v>
      </c>
    </row>
    <row r="31">
      <c r="B31" s="5" t="n">
        <v>2012</v>
      </c>
      <c r="C31" s="6" t="n">
        <v>3087</v>
      </c>
      <c r="D31" s="6" t="n">
        <v>4725</v>
      </c>
      <c r="E31" s="6">
        <f>C31+D31</f>
        <v/>
      </c>
      <c r="F31" s="13" t="n">
        <v>74.7</v>
      </c>
      <c r="G31" s="5" t="n">
        <v>46</v>
      </c>
    </row>
    <row r="32">
      <c r="B32" s="5" t="n">
        <v>2013</v>
      </c>
      <c r="C32" s="6" t="n">
        <v>2704</v>
      </c>
      <c r="D32" s="6" t="n">
        <v>5016</v>
      </c>
      <c r="E32" s="6">
        <f>C32+D32</f>
        <v/>
      </c>
      <c r="F32" s="13" t="n">
        <v>71.40000000000001</v>
      </c>
      <c r="G32" s="5" t="n">
        <v>56</v>
      </c>
    </row>
    <row r="33">
      <c r="B33" s="5" t="n">
        <v>2014</v>
      </c>
      <c r="C33" s="6" t="n">
        <v>2291</v>
      </c>
      <c r="D33" s="6" t="n">
        <v>4938</v>
      </c>
      <c r="E33" s="6">
        <f>C33+D33</f>
        <v/>
      </c>
      <c r="F33" s="13" t="n">
        <v>73</v>
      </c>
      <c r="G33" s="5" t="n">
        <v>58</v>
      </c>
    </row>
    <row r="34">
      <c r="B34" s="5" t="n">
        <v>2015</v>
      </c>
      <c r="C34" s="6" t="n">
        <v>2009</v>
      </c>
      <c r="D34" s="6" t="n">
        <v>5230</v>
      </c>
      <c r="E34" s="6">
        <f>C34+D34</f>
        <v/>
      </c>
      <c r="F34" s="13" t="n">
        <v>74.55</v>
      </c>
      <c r="G34" s="5" t="n">
        <v>68</v>
      </c>
    </row>
    <row r="35">
      <c r="B35" s="5" t="n">
        <v>2016</v>
      </c>
      <c r="C35" s="6" t="n">
        <v>1654</v>
      </c>
      <c r="D35" s="6" t="n">
        <v>6419</v>
      </c>
      <c r="E35" s="6">
        <f>C35+D35</f>
        <v/>
      </c>
      <c r="F35" s="13" t="n">
        <v>85.54000000000001</v>
      </c>
      <c r="G35" s="5" t="n">
        <v>72</v>
      </c>
    </row>
    <row r="36">
      <c r="B36" s="5" t="n">
        <v>2017</v>
      </c>
      <c r="C36" s="6" t="n">
        <v>1560</v>
      </c>
      <c r="D36" s="6" t="n">
        <v>7615</v>
      </c>
      <c r="E36" s="6">
        <f>C36+D36</f>
        <v/>
      </c>
      <c r="F36" s="13" t="n">
        <v>87.27</v>
      </c>
      <c r="G36" s="5" t="n">
        <v>77</v>
      </c>
    </row>
    <row r="37">
      <c r="B37" s="5" t="n">
        <v>2018</v>
      </c>
      <c r="C37" s="6" t="n">
        <v>1176</v>
      </c>
      <c r="D37" s="6" t="n">
        <v>8849</v>
      </c>
      <c r="E37" s="6">
        <f>C37+D37</f>
        <v/>
      </c>
      <c r="F37" s="13" t="n">
        <v>88.5</v>
      </c>
      <c r="G37" s="5" t="n">
        <v>77</v>
      </c>
    </row>
    <row r="38">
      <c r="B38" s="5" t="n">
        <v>2019</v>
      </c>
      <c r="C38" s="6" t="n">
        <v>1148</v>
      </c>
      <c r="D38" s="6" t="n">
        <v>9963</v>
      </c>
      <c r="E38" s="6">
        <f>C38+D38</f>
        <v/>
      </c>
      <c r="F38" s="13" t="n">
        <v>89.43000000000001</v>
      </c>
      <c r="G38" s="5" t="n">
        <v>81</v>
      </c>
    </row>
    <row r="40">
      <c r="B40" s="9" t="inlineStr">
        <is>
          <t>Source: RIAA U.S. Music Revenue Database · revenues adjusted for inflation to 2019 dollars</t>
        </is>
      </c>
    </row>
    <row r="41">
      <c r="B41" s="14" t="inlineStr">
        <is>
          <t>Adoption: World Bank / ITU, Individuals using the Internet (% of US population); Pew Research Center Mobile Fact Sheet, % of US adults owning a smartphone (from 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2026-09-14T05:52:59Z</dcterms:created>
  <dcterms:modified xmlns:dcterms="http://purl.org/dc/terms/" xmlns:xsi="http://www.w3.org/2001/XMLSchema-instance" xsi:type="dcterms:W3CDTF">2026-09-14T05:52:59Z</dcterms:modified>
</cp:coreProperties>
</file>