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mini_cases\trade_balanbce\"/>
    </mc:Choice>
  </mc:AlternateContent>
  <xr:revisionPtr revIDLastSave="0" documentId="13_ncr:1_{1B10C822-BCCF-405A-B502-53129D06A7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yfair_1786" sheetId="1" r:id="rId1"/>
    <sheet name="Balance" sheetId="2" r:id="rId2"/>
    <sheet name="Deviation" sheetId="3" r:id="rId3"/>
    <sheet name="Data_Tra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4" l="1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D89" i="3"/>
  <c r="E89" i="3" s="1"/>
  <c r="C89" i="3"/>
  <c r="B89" i="3"/>
  <c r="E88" i="3"/>
  <c r="D88" i="3"/>
  <c r="C88" i="3"/>
  <c r="B88" i="3"/>
  <c r="D87" i="3"/>
  <c r="E87" i="3" s="1"/>
  <c r="C87" i="3"/>
  <c r="B87" i="3"/>
  <c r="D86" i="3"/>
  <c r="E86" i="3" s="1"/>
  <c r="C86" i="3"/>
  <c r="B86" i="3"/>
  <c r="D85" i="3"/>
  <c r="E85" i="3" s="1"/>
  <c r="C85" i="3"/>
  <c r="B85" i="3"/>
  <c r="D84" i="3"/>
  <c r="C84" i="3"/>
  <c r="E84" i="3" s="1"/>
  <c r="B84" i="3"/>
  <c r="E83" i="3"/>
  <c r="D83" i="3"/>
  <c r="C83" i="3"/>
  <c r="B83" i="3"/>
  <c r="E82" i="3"/>
  <c r="D82" i="3"/>
  <c r="C82" i="3"/>
  <c r="B82" i="3"/>
  <c r="D81" i="3"/>
  <c r="E81" i="3" s="1"/>
  <c r="C81" i="3"/>
  <c r="B81" i="3"/>
  <c r="D80" i="3"/>
  <c r="E80" i="3" s="1"/>
  <c r="C80" i="3"/>
  <c r="B80" i="3"/>
  <c r="D79" i="3"/>
  <c r="C79" i="3"/>
  <c r="E79" i="3" s="1"/>
  <c r="B79" i="3"/>
  <c r="E78" i="3"/>
  <c r="D78" i="3"/>
  <c r="C78" i="3"/>
  <c r="B78" i="3"/>
  <c r="E77" i="3"/>
  <c r="D77" i="3"/>
  <c r="C77" i="3"/>
  <c r="B77" i="3"/>
  <c r="D76" i="3"/>
  <c r="E76" i="3" s="1"/>
  <c r="C76" i="3"/>
  <c r="B76" i="3"/>
  <c r="D75" i="3"/>
  <c r="E75" i="3" s="1"/>
  <c r="C75" i="3"/>
  <c r="B75" i="3"/>
  <c r="D74" i="3"/>
  <c r="C74" i="3"/>
  <c r="E74" i="3" s="1"/>
  <c r="B74" i="3"/>
  <c r="E73" i="3"/>
  <c r="D73" i="3"/>
  <c r="C73" i="3"/>
  <c r="B73" i="3"/>
  <c r="E72" i="3"/>
  <c r="D72" i="3"/>
  <c r="C72" i="3"/>
  <c r="B72" i="3"/>
  <c r="D71" i="3"/>
  <c r="E71" i="3" s="1"/>
  <c r="C71" i="3"/>
  <c r="B71" i="3"/>
  <c r="D70" i="3"/>
  <c r="E70" i="3" s="1"/>
  <c r="C70" i="3"/>
  <c r="B70" i="3"/>
  <c r="D69" i="3"/>
  <c r="C69" i="3"/>
  <c r="E69" i="3" s="1"/>
  <c r="B69" i="3"/>
  <c r="E68" i="3"/>
  <c r="D68" i="3"/>
  <c r="C68" i="3"/>
  <c r="B68" i="3"/>
  <c r="E67" i="3"/>
  <c r="D67" i="3"/>
  <c r="C67" i="3"/>
  <c r="B67" i="3"/>
  <c r="D66" i="3"/>
  <c r="E66" i="3" s="1"/>
  <c r="C66" i="3"/>
  <c r="B66" i="3"/>
  <c r="D65" i="3"/>
  <c r="E65" i="3" s="1"/>
  <c r="C65" i="3"/>
  <c r="B65" i="3"/>
  <c r="D64" i="3"/>
  <c r="C64" i="3"/>
  <c r="E64" i="3" s="1"/>
  <c r="B64" i="3"/>
  <c r="E63" i="3"/>
  <c r="D63" i="3"/>
  <c r="C63" i="3"/>
  <c r="B63" i="3"/>
  <c r="E62" i="3"/>
  <c r="D62" i="3"/>
  <c r="C62" i="3"/>
  <c r="B62" i="3"/>
  <c r="D61" i="3"/>
  <c r="E61" i="3" s="1"/>
  <c r="C61" i="3"/>
  <c r="B61" i="3"/>
  <c r="D60" i="3"/>
  <c r="E60" i="3" s="1"/>
  <c r="C60" i="3"/>
  <c r="B60" i="3"/>
  <c r="D59" i="3"/>
  <c r="C59" i="3"/>
  <c r="E59" i="3" s="1"/>
  <c r="B59" i="3"/>
  <c r="E58" i="3"/>
  <c r="D58" i="3"/>
  <c r="C58" i="3"/>
  <c r="B58" i="3"/>
  <c r="E57" i="3"/>
  <c r="D57" i="3"/>
  <c r="C57" i="3"/>
  <c r="B57" i="3"/>
  <c r="D56" i="3"/>
  <c r="E56" i="3" s="1"/>
  <c r="C56" i="3"/>
  <c r="B56" i="3"/>
  <c r="D55" i="3"/>
  <c r="E55" i="3" s="1"/>
  <c r="C55" i="3"/>
  <c r="B55" i="3"/>
  <c r="D54" i="3"/>
  <c r="C54" i="3"/>
  <c r="E54" i="3" s="1"/>
  <c r="B54" i="3"/>
  <c r="E53" i="3"/>
  <c r="D53" i="3"/>
  <c r="C53" i="3"/>
  <c r="B53" i="3"/>
  <c r="E52" i="3"/>
  <c r="D52" i="3"/>
  <c r="C52" i="3"/>
  <c r="B52" i="3"/>
  <c r="D51" i="3"/>
  <c r="E51" i="3" s="1"/>
  <c r="C51" i="3"/>
  <c r="B51" i="3"/>
  <c r="D50" i="3"/>
  <c r="E50" i="3" s="1"/>
  <c r="C50" i="3"/>
  <c r="B50" i="3"/>
  <c r="D49" i="3"/>
  <c r="C49" i="3"/>
  <c r="E49" i="3" s="1"/>
  <c r="B49" i="3"/>
  <c r="E48" i="3"/>
  <c r="D48" i="3"/>
  <c r="C48" i="3"/>
  <c r="B48" i="3"/>
  <c r="E47" i="3"/>
  <c r="D47" i="3"/>
  <c r="C47" i="3"/>
  <c r="B47" i="3"/>
  <c r="D46" i="3"/>
  <c r="E46" i="3" s="1"/>
  <c r="C46" i="3"/>
  <c r="B46" i="3"/>
  <c r="D45" i="3"/>
  <c r="E45" i="3" s="1"/>
  <c r="C45" i="3"/>
  <c r="B45" i="3"/>
  <c r="D44" i="3"/>
  <c r="C44" i="3"/>
  <c r="E44" i="3" s="1"/>
  <c r="B44" i="3"/>
  <c r="E43" i="3"/>
  <c r="D43" i="3"/>
  <c r="C43" i="3"/>
  <c r="B43" i="3"/>
  <c r="E42" i="3"/>
  <c r="D42" i="3"/>
  <c r="C42" i="3"/>
  <c r="B42" i="3"/>
  <c r="D41" i="3"/>
  <c r="E41" i="3" s="1"/>
  <c r="C41" i="3"/>
  <c r="B41" i="3"/>
  <c r="D40" i="3"/>
  <c r="E40" i="3" s="1"/>
  <c r="C40" i="3"/>
  <c r="B40" i="3"/>
  <c r="D39" i="3"/>
  <c r="C39" i="3"/>
  <c r="E39" i="3" s="1"/>
  <c r="B39" i="3"/>
  <c r="E38" i="3"/>
  <c r="D38" i="3"/>
  <c r="C38" i="3"/>
  <c r="B38" i="3"/>
  <c r="E37" i="3"/>
  <c r="D37" i="3"/>
  <c r="C37" i="3"/>
  <c r="B37" i="3"/>
  <c r="D36" i="3"/>
  <c r="E36" i="3" s="1"/>
  <c r="C36" i="3"/>
  <c r="B36" i="3"/>
  <c r="D35" i="3"/>
  <c r="E35" i="3" s="1"/>
  <c r="C35" i="3"/>
  <c r="B35" i="3"/>
  <c r="D34" i="3"/>
  <c r="C34" i="3"/>
  <c r="E34" i="3" s="1"/>
  <c r="B34" i="3"/>
  <c r="E33" i="3"/>
  <c r="D33" i="3"/>
  <c r="C33" i="3"/>
  <c r="B33" i="3"/>
  <c r="E32" i="3"/>
  <c r="D32" i="3"/>
  <c r="C32" i="3"/>
  <c r="B32" i="3"/>
  <c r="D31" i="3"/>
  <c r="E31" i="3" s="1"/>
  <c r="C31" i="3"/>
  <c r="B31" i="3"/>
  <c r="D30" i="3"/>
  <c r="E30" i="3" s="1"/>
  <c r="C30" i="3"/>
  <c r="B30" i="3"/>
  <c r="D29" i="3"/>
  <c r="C29" i="3"/>
  <c r="E29" i="3" s="1"/>
  <c r="B29" i="3"/>
  <c r="E28" i="3"/>
  <c r="D28" i="3"/>
  <c r="C28" i="3"/>
  <c r="B28" i="3"/>
  <c r="E27" i="3"/>
  <c r="D27" i="3"/>
  <c r="C27" i="3"/>
  <c r="B27" i="3"/>
  <c r="D26" i="3"/>
  <c r="E26" i="3" s="1"/>
  <c r="C26" i="3"/>
  <c r="B26" i="3"/>
  <c r="D25" i="3"/>
  <c r="E25" i="3" s="1"/>
  <c r="C25" i="3"/>
  <c r="B25" i="3"/>
  <c r="D24" i="3"/>
  <c r="C24" i="3"/>
  <c r="E24" i="3" s="1"/>
  <c r="B24" i="3"/>
  <c r="E23" i="3"/>
  <c r="D23" i="3"/>
  <c r="C23" i="3"/>
  <c r="B23" i="3"/>
  <c r="E22" i="3"/>
  <c r="D22" i="3"/>
  <c r="C22" i="3"/>
  <c r="B22" i="3"/>
  <c r="D21" i="3"/>
  <c r="E21" i="3" s="1"/>
  <c r="C21" i="3"/>
  <c r="B21" i="3"/>
  <c r="D20" i="3"/>
  <c r="E20" i="3" s="1"/>
  <c r="C20" i="3"/>
  <c r="B20" i="3"/>
  <c r="D19" i="3"/>
  <c r="C19" i="3"/>
  <c r="E19" i="3" s="1"/>
  <c r="B19" i="3"/>
  <c r="E18" i="3"/>
  <c r="D18" i="3"/>
  <c r="C18" i="3"/>
  <c r="B18" i="3"/>
  <c r="E17" i="3"/>
  <c r="D17" i="3"/>
  <c r="C17" i="3"/>
  <c r="B17" i="3"/>
  <c r="D16" i="3"/>
  <c r="E16" i="3" s="1"/>
  <c r="C16" i="3"/>
  <c r="B16" i="3"/>
  <c r="D15" i="3"/>
  <c r="E15" i="3" s="1"/>
  <c r="C15" i="3"/>
  <c r="B15" i="3"/>
  <c r="D14" i="3"/>
  <c r="C14" i="3"/>
  <c r="E14" i="3" s="1"/>
  <c r="B14" i="3"/>
  <c r="E13" i="3"/>
  <c r="D13" i="3"/>
  <c r="C13" i="3"/>
  <c r="B13" i="3"/>
  <c r="E12" i="3"/>
  <c r="D12" i="3"/>
  <c r="C12" i="3"/>
  <c r="B12" i="3"/>
  <c r="D11" i="3"/>
  <c r="E11" i="3" s="1"/>
  <c r="C11" i="3"/>
  <c r="B11" i="3"/>
  <c r="D10" i="3"/>
  <c r="E10" i="3" s="1"/>
  <c r="C10" i="3"/>
  <c r="B10" i="3"/>
  <c r="D9" i="3"/>
  <c r="C9" i="3"/>
  <c r="E9" i="3" s="1"/>
  <c r="B9" i="3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H89" i="1"/>
  <c r="D89" i="1"/>
  <c r="G89" i="1" s="1"/>
  <c r="C89" i="1"/>
  <c r="F89" i="1" s="1"/>
  <c r="B89" i="1"/>
  <c r="H88" i="1"/>
  <c r="D88" i="1"/>
  <c r="F88" i="1" s="1"/>
  <c r="C88" i="1"/>
  <c r="B88" i="1"/>
  <c r="H87" i="1"/>
  <c r="E87" i="1"/>
  <c r="D87" i="1"/>
  <c r="G87" i="1" s="1"/>
  <c r="C87" i="1"/>
  <c r="B87" i="1"/>
  <c r="H86" i="1"/>
  <c r="D86" i="1"/>
  <c r="G86" i="1" s="1"/>
  <c r="C86" i="1"/>
  <c r="E86" i="1" s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D83" i="1"/>
  <c r="G83" i="1" s="1"/>
  <c r="C83" i="1"/>
  <c r="E83" i="1" s="1"/>
  <c r="B83" i="1"/>
  <c r="H82" i="1"/>
  <c r="G82" i="1"/>
  <c r="F82" i="1"/>
  <c r="D82" i="1"/>
  <c r="E82" i="1" s="1"/>
  <c r="C82" i="1"/>
  <c r="B82" i="1"/>
  <c r="H81" i="1"/>
  <c r="G81" i="1"/>
  <c r="F81" i="1"/>
  <c r="E81" i="1"/>
  <c r="D81" i="1"/>
  <c r="C81" i="1"/>
  <c r="B81" i="1"/>
  <c r="H80" i="1"/>
  <c r="D80" i="1"/>
  <c r="G80" i="1" s="1"/>
  <c r="C80" i="1"/>
  <c r="E80" i="1" s="1"/>
  <c r="B80" i="1"/>
  <c r="H79" i="1"/>
  <c r="G79" i="1"/>
  <c r="F79" i="1"/>
  <c r="D79" i="1"/>
  <c r="C79" i="1"/>
  <c r="E79" i="1" s="1"/>
  <c r="B79" i="1"/>
  <c r="H78" i="1"/>
  <c r="G78" i="1"/>
  <c r="F78" i="1"/>
  <c r="E78" i="1"/>
  <c r="D78" i="1"/>
  <c r="C78" i="1"/>
  <c r="B78" i="1"/>
  <c r="H77" i="1"/>
  <c r="D77" i="1"/>
  <c r="G77" i="1" s="1"/>
  <c r="C77" i="1"/>
  <c r="F77" i="1" s="1"/>
  <c r="B77" i="1"/>
  <c r="H76" i="1"/>
  <c r="G76" i="1"/>
  <c r="D76" i="1"/>
  <c r="C76" i="1"/>
  <c r="F76" i="1" s="1"/>
  <c r="B76" i="1"/>
  <c r="H75" i="1"/>
  <c r="G75" i="1"/>
  <c r="F75" i="1"/>
  <c r="D75" i="1"/>
  <c r="C75" i="1"/>
  <c r="E75" i="1" s="1"/>
  <c r="B75" i="1"/>
  <c r="H74" i="1"/>
  <c r="D74" i="1"/>
  <c r="G74" i="1" s="1"/>
  <c r="C74" i="1"/>
  <c r="F74" i="1" s="1"/>
  <c r="B74" i="1"/>
  <c r="H73" i="1"/>
  <c r="D73" i="1"/>
  <c r="G73" i="1" s="1"/>
  <c r="C73" i="1"/>
  <c r="F73" i="1" s="1"/>
  <c r="B73" i="1"/>
  <c r="H72" i="1"/>
  <c r="D72" i="1"/>
  <c r="C72" i="1"/>
  <c r="G72" i="1" s="1"/>
  <c r="B72" i="1"/>
  <c r="H71" i="1"/>
  <c r="D71" i="1"/>
  <c r="G71" i="1" s="1"/>
  <c r="C71" i="1"/>
  <c r="E71" i="1" s="1"/>
  <c r="B71" i="1"/>
  <c r="H70" i="1"/>
  <c r="D70" i="1"/>
  <c r="G70" i="1" s="1"/>
  <c r="C70" i="1"/>
  <c r="F70" i="1" s="1"/>
  <c r="B70" i="1"/>
  <c r="H69" i="1"/>
  <c r="D69" i="1"/>
  <c r="G69" i="1" s="1"/>
  <c r="C69" i="1"/>
  <c r="F69" i="1" s="1"/>
  <c r="B69" i="1"/>
  <c r="H68" i="1"/>
  <c r="D68" i="1"/>
  <c r="G68" i="1" s="1"/>
  <c r="C68" i="1"/>
  <c r="E68" i="1" s="1"/>
  <c r="B68" i="1"/>
  <c r="H67" i="1"/>
  <c r="E67" i="1"/>
  <c r="D67" i="1"/>
  <c r="G67" i="1" s="1"/>
  <c r="C67" i="1"/>
  <c r="B67" i="1"/>
  <c r="H66" i="1"/>
  <c r="D66" i="1"/>
  <c r="G66" i="1" s="1"/>
  <c r="C66" i="1"/>
  <c r="E66" i="1" s="1"/>
  <c r="B66" i="1"/>
  <c r="H65" i="1"/>
  <c r="D65" i="1"/>
  <c r="E65" i="1" s="1"/>
  <c r="C65" i="1"/>
  <c r="B65" i="1"/>
  <c r="H64" i="1"/>
  <c r="G64" i="1"/>
  <c r="F64" i="1"/>
  <c r="E64" i="1"/>
  <c r="D64" i="1"/>
  <c r="C64" i="1"/>
  <c r="B64" i="1"/>
  <c r="H63" i="1"/>
  <c r="D63" i="1"/>
  <c r="G63" i="1" s="1"/>
  <c r="C63" i="1"/>
  <c r="F63" i="1" s="1"/>
  <c r="B63" i="1"/>
  <c r="H62" i="1"/>
  <c r="G62" i="1"/>
  <c r="F62" i="1"/>
  <c r="E62" i="1"/>
  <c r="D62" i="1"/>
  <c r="C62" i="1"/>
  <c r="B62" i="1"/>
  <c r="H61" i="1"/>
  <c r="G61" i="1"/>
  <c r="F61" i="1"/>
  <c r="D61" i="1"/>
  <c r="E61" i="1" s="1"/>
  <c r="C61" i="1"/>
  <c r="B61" i="1"/>
  <c r="H60" i="1"/>
  <c r="D60" i="1"/>
  <c r="G60" i="1" s="1"/>
  <c r="C60" i="1"/>
  <c r="E60" i="1" s="1"/>
  <c r="B60" i="1"/>
  <c r="H59" i="1"/>
  <c r="G59" i="1"/>
  <c r="F59" i="1"/>
  <c r="D59" i="1"/>
  <c r="C59" i="1"/>
  <c r="E59" i="1" s="1"/>
  <c r="B59" i="1"/>
  <c r="H58" i="1"/>
  <c r="G58" i="1"/>
  <c r="F58" i="1"/>
  <c r="E58" i="1"/>
  <c r="D58" i="1"/>
  <c r="C58" i="1"/>
  <c r="B58" i="1"/>
  <c r="H57" i="1"/>
  <c r="D57" i="1"/>
  <c r="G57" i="1" s="1"/>
  <c r="C57" i="1"/>
  <c r="E57" i="1" s="1"/>
  <c r="B57" i="1"/>
  <c r="H56" i="1"/>
  <c r="G56" i="1"/>
  <c r="D56" i="1"/>
  <c r="C56" i="1"/>
  <c r="F56" i="1" s="1"/>
  <c r="B56" i="1"/>
  <c r="H55" i="1"/>
  <c r="G55" i="1"/>
  <c r="F55" i="1"/>
  <c r="D55" i="1"/>
  <c r="C55" i="1"/>
  <c r="E55" i="1" s="1"/>
  <c r="B55" i="1"/>
  <c r="H54" i="1"/>
  <c r="D54" i="1"/>
  <c r="G54" i="1" s="1"/>
  <c r="C54" i="1"/>
  <c r="F54" i="1" s="1"/>
  <c r="B54" i="1"/>
  <c r="H53" i="1"/>
  <c r="D53" i="1"/>
  <c r="G53" i="1" s="1"/>
  <c r="C53" i="1"/>
  <c r="F53" i="1" s="1"/>
  <c r="B53" i="1"/>
  <c r="H52" i="1"/>
  <c r="D52" i="1"/>
  <c r="C52" i="1"/>
  <c r="G52" i="1" s="1"/>
  <c r="B52" i="1"/>
  <c r="H51" i="1"/>
  <c r="D51" i="1"/>
  <c r="G51" i="1" s="1"/>
  <c r="C51" i="1"/>
  <c r="F51" i="1" s="1"/>
  <c r="B51" i="1"/>
  <c r="H50" i="1"/>
  <c r="D50" i="1"/>
  <c r="G50" i="1" s="1"/>
  <c r="C50" i="1"/>
  <c r="F50" i="1" s="1"/>
  <c r="B50" i="1"/>
  <c r="H49" i="1"/>
  <c r="D49" i="1"/>
  <c r="G49" i="1" s="1"/>
  <c r="C49" i="1"/>
  <c r="F49" i="1" s="1"/>
  <c r="B49" i="1"/>
  <c r="H48" i="1"/>
  <c r="D48" i="1"/>
  <c r="G48" i="1" s="1"/>
  <c r="C48" i="1"/>
  <c r="E48" i="1" s="1"/>
  <c r="B48" i="1"/>
  <c r="H47" i="1"/>
  <c r="E47" i="1"/>
  <c r="D47" i="1"/>
  <c r="G47" i="1" s="1"/>
  <c r="C47" i="1"/>
  <c r="F47" i="1" s="1"/>
  <c r="B47" i="1"/>
  <c r="H46" i="1"/>
  <c r="D46" i="1"/>
  <c r="G46" i="1" s="1"/>
  <c r="C46" i="1"/>
  <c r="F46" i="1" s="1"/>
  <c r="B46" i="1"/>
  <c r="H45" i="1"/>
  <c r="D45" i="1"/>
  <c r="F45" i="1" s="1"/>
  <c r="C45" i="1"/>
  <c r="B45" i="1"/>
  <c r="H44" i="1"/>
  <c r="F44" i="1"/>
  <c r="D44" i="1"/>
  <c r="G44" i="1" s="1"/>
  <c r="C44" i="1"/>
  <c r="B44" i="1"/>
  <c r="H43" i="1"/>
  <c r="D43" i="1"/>
  <c r="G43" i="1" s="1"/>
  <c r="C43" i="1"/>
  <c r="E43" i="1" s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D40" i="1"/>
  <c r="G40" i="1" s="1"/>
  <c r="C40" i="1"/>
  <c r="F40" i="1" s="1"/>
  <c r="B40" i="1"/>
  <c r="H39" i="1"/>
  <c r="G39" i="1"/>
  <c r="F39" i="1"/>
  <c r="D39" i="1"/>
  <c r="C39" i="1"/>
  <c r="E39" i="1" s="1"/>
  <c r="B39" i="1"/>
  <c r="H38" i="1"/>
  <c r="G38" i="1"/>
  <c r="F38" i="1"/>
  <c r="E38" i="1"/>
  <c r="D38" i="1"/>
  <c r="C38" i="1"/>
  <c r="B38" i="1"/>
  <c r="H37" i="1"/>
  <c r="D37" i="1"/>
  <c r="G37" i="1" s="1"/>
  <c r="C37" i="1"/>
  <c r="E37" i="1" s="1"/>
  <c r="B37" i="1"/>
  <c r="H36" i="1"/>
  <c r="G36" i="1"/>
  <c r="E36" i="1"/>
  <c r="D36" i="1"/>
  <c r="C36" i="1"/>
  <c r="F36" i="1" s="1"/>
  <c r="B36" i="1"/>
  <c r="H35" i="1"/>
  <c r="G35" i="1"/>
  <c r="F35" i="1"/>
  <c r="D35" i="1"/>
  <c r="C35" i="1"/>
  <c r="E35" i="1" s="1"/>
  <c r="B35" i="1"/>
  <c r="H34" i="1"/>
  <c r="D34" i="1"/>
  <c r="G34" i="1" s="1"/>
  <c r="C34" i="1"/>
  <c r="E34" i="1" s="1"/>
  <c r="B34" i="1"/>
  <c r="H33" i="1"/>
  <c r="D33" i="1"/>
  <c r="G33" i="1" s="1"/>
  <c r="C33" i="1"/>
  <c r="F33" i="1" s="1"/>
  <c r="B33" i="1"/>
  <c r="H32" i="1"/>
  <c r="D32" i="1"/>
  <c r="C32" i="1"/>
  <c r="G32" i="1" s="1"/>
  <c r="B32" i="1"/>
  <c r="H31" i="1"/>
  <c r="D31" i="1"/>
  <c r="G31" i="1" s="1"/>
  <c r="C31" i="1"/>
  <c r="F31" i="1" s="1"/>
  <c r="B31" i="1"/>
  <c r="H30" i="1"/>
  <c r="D30" i="1"/>
  <c r="G30" i="1" s="1"/>
  <c r="C30" i="1"/>
  <c r="F30" i="1" s="1"/>
  <c r="B30" i="1"/>
  <c r="H29" i="1"/>
  <c r="D29" i="1"/>
  <c r="G29" i="1" s="1"/>
  <c r="C29" i="1"/>
  <c r="F29" i="1" s="1"/>
  <c r="B29" i="1"/>
  <c r="H28" i="1"/>
  <c r="D28" i="1"/>
  <c r="G28" i="1" s="1"/>
  <c r="C28" i="1"/>
  <c r="E28" i="1" s="1"/>
  <c r="B28" i="1"/>
  <c r="H27" i="1"/>
  <c r="E27" i="1"/>
  <c r="D27" i="1"/>
  <c r="G27" i="1" s="1"/>
  <c r="C27" i="1"/>
  <c r="F27" i="1" s="1"/>
  <c r="B27" i="1"/>
  <c r="H26" i="1"/>
  <c r="D26" i="1"/>
  <c r="G26" i="1" s="1"/>
  <c r="C26" i="1"/>
  <c r="E26" i="1" s="1"/>
  <c r="B26" i="1"/>
  <c r="H25" i="1"/>
  <c r="D25" i="1"/>
  <c r="E25" i="1" s="1"/>
  <c r="C25" i="1"/>
  <c r="B25" i="1"/>
  <c r="H24" i="1"/>
  <c r="F24" i="1"/>
  <c r="D24" i="1"/>
  <c r="G24" i="1" s="1"/>
  <c r="C24" i="1"/>
  <c r="B24" i="1"/>
  <c r="H23" i="1"/>
  <c r="D23" i="1"/>
  <c r="G23" i="1" s="1"/>
  <c r="C23" i="1"/>
  <c r="E23" i="1" s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D20" i="1"/>
  <c r="G20" i="1" s="1"/>
  <c r="C20" i="1"/>
  <c r="E20" i="1" s="1"/>
  <c r="B20" i="1"/>
  <c r="H19" i="1"/>
  <c r="G19" i="1"/>
  <c r="F19" i="1"/>
  <c r="D19" i="1"/>
  <c r="C19" i="1"/>
  <c r="E19" i="1" s="1"/>
  <c r="B19" i="1"/>
  <c r="H18" i="1"/>
  <c r="G18" i="1"/>
  <c r="F18" i="1"/>
  <c r="E18" i="1"/>
  <c r="D18" i="1"/>
  <c r="C18" i="1"/>
  <c r="B18" i="1"/>
  <c r="H17" i="1"/>
  <c r="D17" i="1"/>
  <c r="G17" i="1" s="1"/>
  <c r="C17" i="1"/>
  <c r="E17" i="1" s="1"/>
  <c r="B17" i="1"/>
  <c r="H16" i="1"/>
  <c r="G16" i="1"/>
  <c r="E16" i="1"/>
  <c r="D16" i="1"/>
  <c r="C16" i="1"/>
  <c r="F16" i="1" s="1"/>
  <c r="B16" i="1"/>
  <c r="H15" i="1"/>
  <c r="G15" i="1"/>
  <c r="F15" i="1"/>
  <c r="D15" i="1"/>
  <c r="C15" i="1"/>
  <c r="E15" i="1" s="1"/>
  <c r="B15" i="1"/>
  <c r="H14" i="1"/>
  <c r="D14" i="1"/>
  <c r="G14" i="1" s="1"/>
  <c r="C14" i="1"/>
  <c r="E14" i="1" s="1"/>
  <c r="B14" i="1"/>
  <c r="H13" i="1"/>
  <c r="D13" i="1"/>
  <c r="G13" i="1" s="1"/>
  <c r="C13" i="1"/>
  <c r="F13" i="1" s="1"/>
  <c r="B13" i="1"/>
  <c r="H12" i="1"/>
  <c r="D12" i="1"/>
  <c r="C12" i="1"/>
  <c r="G12" i="1" s="1"/>
  <c r="B12" i="1"/>
  <c r="H11" i="1"/>
  <c r="D11" i="1"/>
  <c r="G11" i="1" s="1"/>
  <c r="C11" i="1"/>
  <c r="F11" i="1" s="1"/>
  <c r="B11" i="1"/>
  <c r="H10" i="1"/>
  <c r="D10" i="1"/>
  <c r="G10" i="1" s="1"/>
  <c r="C10" i="1"/>
  <c r="F10" i="1" s="1"/>
  <c r="B10" i="1"/>
  <c r="H9" i="1"/>
  <c r="D9" i="1"/>
  <c r="G9" i="1" s="1"/>
  <c r="C9" i="1"/>
  <c r="F9" i="1" s="1"/>
  <c r="B9" i="1"/>
  <c r="E74" i="1" l="1"/>
  <c r="F17" i="1"/>
  <c r="E40" i="1"/>
  <c r="F57" i="1"/>
  <c r="F20" i="1"/>
  <c r="F23" i="1"/>
  <c r="E46" i="1"/>
  <c r="E9" i="1"/>
  <c r="F26" i="1"/>
  <c r="E49" i="1"/>
  <c r="F66" i="1"/>
  <c r="E89" i="1"/>
  <c r="E45" i="1"/>
  <c r="E11" i="1"/>
  <c r="E51" i="1"/>
  <c r="F68" i="1"/>
  <c r="F37" i="1"/>
  <c r="F80" i="1"/>
  <c r="F43" i="1"/>
  <c r="F83" i="1"/>
  <c r="E29" i="1"/>
  <c r="E69" i="1"/>
  <c r="F86" i="1"/>
  <c r="E32" i="1"/>
  <c r="E52" i="1"/>
  <c r="E72" i="1"/>
  <c r="F25" i="1"/>
  <c r="F28" i="1"/>
  <c r="G45" i="1"/>
  <c r="G65" i="1"/>
  <c r="F14" i="1"/>
  <c r="E63" i="1"/>
  <c r="E12" i="1"/>
  <c r="F12" i="1"/>
  <c r="F32" i="1"/>
  <c r="F52" i="1"/>
  <c r="F72" i="1"/>
  <c r="F65" i="1"/>
  <c r="E31" i="1"/>
  <c r="F71" i="1"/>
  <c r="E77" i="1"/>
  <c r="F60" i="1"/>
  <c r="F48" i="1"/>
  <c r="F34" i="1"/>
  <c r="E24" i="1"/>
  <c r="E44" i="1"/>
  <c r="E54" i="1"/>
  <c r="G88" i="1"/>
  <c r="E88" i="1"/>
  <c r="G25" i="1"/>
  <c r="E10" i="1"/>
  <c r="E30" i="1"/>
  <c r="E50" i="1"/>
  <c r="F67" i="1"/>
  <c r="E70" i="1"/>
  <c r="F87" i="1"/>
  <c r="E13" i="1"/>
  <c r="E33" i="1"/>
  <c r="E53" i="1"/>
  <c r="E73" i="1"/>
  <c r="E76" i="1"/>
  <c r="E56" i="1"/>
</calcChain>
</file>

<file path=xl/sharedStrings.xml><?xml version="1.0" encoding="utf-8"?>
<sst xmlns="http://schemas.openxmlformats.org/spreadsheetml/2006/main" count="40" uniqueCount="26">
  <si>
    <t>Replica: the 1786 plate as Playfair engraved it</t>
  </si>
  <si>
    <t>Exports and Imports to and from Denmark &amp; Norway, 1700-1780, thousands of pounds. Deliberately NOT house style - see the Balance sheet for that.</t>
  </si>
  <si>
    <t>Source: William Playfair, The Commercial and Political Atlas, London 1786, plate 'Exports and Imports to and from Denmark &amp; Norway from 1700 to 1780', via historyofinformation.com entry 2929 · Values traced from the engraving to ±1, not transcribed from ledgers · Traced 18 Aug 2026</t>
  </si>
  <si>
    <t>Helper columns E:G exist only to fake the two coloured bands. Excel cannot fill between two lines, so the bands are a STACKED AREA chart: an invisible base at MIN(imports, exports), then the deficit gap, then the surplus gap. Only one of the two gaps is ever non-zero, so the stack tops out at MAX(imports, exports) and the two real lines are drawn on top of it as a line chart.</t>
  </si>
  <si>
    <t>Year</t>
  </si>
  <si>
    <t>Line of Imports</t>
  </si>
  <si>
    <t>Line of Exports</t>
  </si>
  <si>
    <t>Base (hidden)</t>
  </si>
  <si>
    <t>100</t>
  </si>
  <si>
    <t>Playfair's own caption: "The Bottom line is divided into Years, the Right hand line into L10,000 each."</t>
  </si>
  <si>
    <t>Pink band = BALANCE AGAINST England (imports exceed exports). Buff band = BALANCE IN FAVOUR OF ENGLAND.</t>
  </si>
  <si>
    <t>England's trade with Denmark &amp; Norway turned from deficit to surplus after 1755</t>
  </si>
  <si>
    <t>Annual exports and imports, thousands of pounds sterling, 1700-1780. The value axis runs 0-200 and is not truncated, so the slopes are honest.</t>
  </si>
  <si>
    <t>I9:K10 is the event-line helper block: two points at the same x, one at 0 and one at 1, drawn as a scatter line on a hidden 0-1 secondary axis. The caption is the series NAME, shown as the top point's data label.</t>
  </si>
  <si>
    <t>Imports</t>
  </si>
  <si>
    <t>Exports</t>
  </si>
  <si>
    <t>Balance turns in England's favour, 1755</t>
  </si>
  <si>
    <t>Fifty-five years of deficit, then twenty-five of surplus</t>
  </si>
  <si>
    <t>Exports minus imports, thousands of pounds sterling. Midpoint is zero: teal is a balance in England's favour, claret a balance against. Bars carry signs, so the chart still reads in greyscale.</t>
  </si>
  <si>
    <t>Every bar carries invertIfNegative = False. Without it Excel draws the negative half hollow - white with an outline - and ignores the fill entirely.</t>
  </si>
  <si>
    <t>Balance</t>
  </si>
  <si>
    <t>Playfair's Denmark &amp; Norway plate, traced back to numbers</t>
  </si>
  <si>
    <t>Thousands of pounds sterling. One row per year, 1700-1780. Every chart in this workbook reads this table through formulas.</t>
  </si>
  <si>
    <t>These are TRACED values: each curve was found by colour in the engraving, sampled at every year and converted through the plate's own gridlines. Accuracy is about ±1. They are not Playfair's ledger figures.</t>
  </si>
  <si>
    <t>BALANCE 
AGAINST</t>
  </si>
  <si>
    <t>BALANCE in 
FAVOUR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</si>
</sst>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+#,##0.0;\-#,##0.0;0.0"/>
  </numFmts>
  <fonts count="11" x14ac:knownFonts="1">
    <font>
      <sz val="11"/>
      <color theme="1"/>
      <name val="Calibri"/>
      <family val="2"/>
      <scheme val="minor"/>
    </font>
    <font>
      <b/>
      <sz val="16"/>
      <color rgb="FF262A33"/>
      <name val="Aptos"/>
      <family val="2"/>
    </font>
    <font>
      <sz val="11"/>
      <color rgb="FF595959"/>
      <name val="Aptos"/>
      <family val="2"/>
    </font>
    <font>
      <sz val="9"/>
      <color rgb="FF8C8C8C"/>
      <name val="Aptos"/>
      <family val="2"/>
    </font>
    <font>
      <i/>
      <sz val="9"/>
      <color rgb="FF990F3D"/>
      <name val="Aptos"/>
      <family val="2"/>
    </font>
    <font>
      <b/>
      <sz val="10"/>
      <color rgb="FFFFFFFF"/>
      <name val="Aptos"/>
      <family val="2"/>
    </font>
    <font>
      <sz val="10"/>
      <color rgb="FF262A33"/>
      <name val="Aptos"/>
      <family val="2"/>
    </font>
    <font>
      <sz val="10"/>
      <color rgb="FF595959"/>
      <name val="Aptos"/>
      <family val="2"/>
    </font>
    <font>
      <i/>
      <sz val="9"/>
      <color rgb="FF4A443E"/>
      <name val="Aptos"/>
      <family val="2"/>
    </font>
    <font>
      <i/>
      <sz val="9"/>
      <color rgb="FF595959"/>
      <name val="Aptos"/>
      <family val="2"/>
    </font>
    <font>
      <sz val="9"/>
      <color rgb="FF595959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5" fontId="7" fillId="0" borderId="0" xfId="0" applyNumberFormat="1" applyFont="1"/>
    <xf numFmtId="0" fontId="5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ctr">
              <a:defRPr sz="1200" b="0" i="0">
                <a:solidFill>
                  <a:srgbClr val="4A443E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600" b="0" i="0">
                <a:solidFill>
                  <a:srgbClr val="4A443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Exports and Imports to and from DENMARK &amp; NORWAY from 1700 to 1780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3316087962962962E-2"/>
          <c:y val="8.739784946236559E-2"/>
          <c:w val="0.9394855324074074"/>
          <c:h val="0.81061146953405017"/>
        </c:manualLayout>
      </c:layout>
      <c:areaChart>
        <c:grouping val="stacked"/>
        <c:varyColors val="1"/>
        <c:ser>
          <c:idx val="0"/>
          <c:order val="0"/>
          <c:tx>
            <c:strRef>
              <c:f>Playfair_1786!$E$8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>
              <a:prstDash val="solid"/>
            </a:ln>
          </c:spPr>
          <c:cat>
            <c:numRef>
              <c:f>Playfair_1786!$B$9:$B$89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Playfair_1786!$E$9:$E$89</c:f>
              <c:numCache>
                <c:formatCode>#,##0.0</c:formatCode>
                <c:ptCount val="81"/>
                <c:pt idx="0">
                  <c:v>33.5</c:v>
                </c:pt>
                <c:pt idx="1">
                  <c:v>35.299999999999997</c:v>
                </c:pt>
                <c:pt idx="2">
                  <c:v>37.799999999999997</c:v>
                </c:pt>
                <c:pt idx="3">
                  <c:v>39.6</c:v>
                </c:pt>
                <c:pt idx="4">
                  <c:v>40.9</c:v>
                </c:pt>
                <c:pt idx="5">
                  <c:v>41.5</c:v>
                </c:pt>
                <c:pt idx="6">
                  <c:v>43.5</c:v>
                </c:pt>
                <c:pt idx="7">
                  <c:v>46.6</c:v>
                </c:pt>
                <c:pt idx="8">
                  <c:v>50.2</c:v>
                </c:pt>
                <c:pt idx="9">
                  <c:v>54.7</c:v>
                </c:pt>
                <c:pt idx="10">
                  <c:v>59.2</c:v>
                </c:pt>
                <c:pt idx="11">
                  <c:v>64</c:v>
                </c:pt>
                <c:pt idx="12">
                  <c:v>69.2</c:v>
                </c:pt>
                <c:pt idx="13">
                  <c:v>72.7</c:v>
                </c:pt>
                <c:pt idx="14">
                  <c:v>75.7</c:v>
                </c:pt>
                <c:pt idx="15">
                  <c:v>77.5</c:v>
                </c:pt>
                <c:pt idx="16">
                  <c:v>78.400000000000006</c:v>
                </c:pt>
                <c:pt idx="17">
                  <c:v>78.2</c:v>
                </c:pt>
                <c:pt idx="18">
                  <c:v>77.5</c:v>
                </c:pt>
                <c:pt idx="19">
                  <c:v>77.099999999999994</c:v>
                </c:pt>
                <c:pt idx="20">
                  <c:v>76.7</c:v>
                </c:pt>
                <c:pt idx="21">
                  <c:v>76</c:v>
                </c:pt>
                <c:pt idx="22">
                  <c:v>75.3</c:v>
                </c:pt>
                <c:pt idx="23">
                  <c:v>74.7</c:v>
                </c:pt>
                <c:pt idx="24">
                  <c:v>73.8</c:v>
                </c:pt>
                <c:pt idx="25">
                  <c:v>73.099999999999994</c:v>
                </c:pt>
                <c:pt idx="26">
                  <c:v>72.099999999999994</c:v>
                </c:pt>
                <c:pt idx="27">
                  <c:v>70.599999999999994</c:v>
                </c:pt>
                <c:pt idx="28">
                  <c:v>68.900000000000006</c:v>
                </c:pt>
                <c:pt idx="29">
                  <c:v>67.400000000000006</c:v>
                </c:pt>
                <c:pt idx="30">
                  <c:v>65</c:v>
                </c:pt>
                <c:pt idx="31">
                  <c:v>63.5</c:v>
                </c:pt>
                <c:pt idx="32">
                  <c:v>62.4</c:v>
                </c:pt>
                <c:pt idx="33">
                  <c:v>61.5</c:v>
                </c:pt>
                <c:pt idx="34">
                  <c:v>61.4</c:v>
                </c:pt>
                <c:pt idx="35">
                  <c:v>61.4</c:v>
                </c:pt>
                <c:pt idx="36">
                  <c:v>61.3</c:v>
                </c:pt>
                <c:pt idx="37">
                  <c:v>62</c:v>
                </c:pt>
                <c:pt idx="38">
                  <c:v>63</c:v>
                </c:pt>
                <c:pt idx="39">
                  <c:v>64.3</c:v>
                </c:pt>
                <c:pt idx="40">
                  <c:v>66</c:v>
                </c:pt>
                <c:pt idx="41">
                  <c:v>68</c:v>
                </c:pt>
                <c:pt idx="42">
                  <c:v>70.2</c:v>
                </c:pt>
                <c:pt idx="43">
                  <c:v>72.5</c:v>
                </c:pt>
                <c:pt idx="44">
                  <c:v>73.900000000000006</c:v>
                </c:pt>
                <c:pt idx="45">
                  <c:v>74.7</c:v>
                </c:pt>
                <c:pt idx="46">
                  <c:v>75.3</c:v>
                </c:pt>
                <c:pt idx="47">
                  <c:v>75.900000000000006</c:v>
                </c:pt>
                <c:pt idx="48">
                  <c:v>76.3</c:v>
                </c:pt>
                <c:pt idx="49">
                  <c:v>77.2</c:v>
                </c:pt>
                <c:pt idx="50">
                  <c:v>78.2</c:v>
                </c:pt>
                <c:pt idx="51">
                  <c:v>79.2</c:v>
                </c:pt>
                <c:pt idx="52">
                  <c:v>80.099999999999994</c:v>
                </c:pt>
                <c:pt idx="53">
                  <c:v>80.7</c:v>
                </c:pt>
                <c:pt idx="54">
                  <c:v>81.3</c:v>
                </c:pt>
                <c:pt idx="55">
                  <c:v>79.8</c:v>
                </c:pt>
                <c:pt idx="56">
                  <c:v>78.400000000000006</c:v>
                </c:pt>
                <c:pt idx="57">
                  <c:v>78</c:v>
                </c:pt>
                <c:pt idx="58">
                  <c:v>77.5</c:v>
                </c:pt>
                <c:pt idx="59">
                  <c:v>77.400000000000006</c:v>
                </c:pt>
                <c:pt idx="60">
                  <c:v>77.400000000000006</c:v>
                </c:pt>
                <c:pt idx="61">
                  <c:v>77.599999999999994</c:v>
                </c:pt>
                <c:pt idx="62">
                  <c:v>78</c:v>
                </c:pt>
                <c:pt idx="63">
                  <c:v>78.2</c:v>
                </c:pt>
                <c:pt idx="64">
                  <c:v>78.7</c:v>
                </c:pt>
                <c:pt idx="65">
                  <c:v>79.3</c:v>
                </c:pt>
                <c:pt idx="66">
                  <c:v>80.2</c:v>
                </c:pt>
                <c:pt idx="67">
                  <c:v>81.2</c:v>
                </c:pt>
                <c:pt idx="68">
                  <c:v>82</c:v>
                </c:pt>
                <c:pt idx="69">
                  <c:v>82.9</c:v>
                </c:pt>
                <c:pt idx="70">
                  <c:v>84</c:v>
                </c:pt>
                <c:pt idx="71">
                  <c:v>85.9</c:v>
                </c:pt>
                <c:pt idx="72">
                  <c:v>87.3</c:v>
                </c:pt>
                <c:pt idx="73">
                  <c:v>89</c:v>
                </c:pt>
                <c:pt idx="74">
                  <c:v>90.6</c:v>
                </c:pt>
                <c:pt idx="75">
                  <c:v>91.5</c:v>
                </c:pt>
                <c:pt idx="76">
                  <c:v>91.6</c:v>
                </c:pt>
                <c:pt idx="77">
                  <c:v>92</c:v>
                </c:pt>
                <c:pt idx="78">
                  <c:v>92</c:v>
                </c:pt>
                <c:pt idx="79">
                  <c:v>92.3</c:v>
                </c:pt>
                <c:pt idx="80">
                  <c:v>92.7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E-4734-B421-D451ED0354DE}"/>
            </c:ext>
          </c:extLst>
        </c:ser>
        <c:ser>
          <c:idx val="1"/>
          <c:order val="1"/>
          <c:tx>
            <c:strRef>
              <c:f>Playfair_1786!$F$8</c:f>
              <c:strCache>
                <c:ptCount val="1"/>
                <c:pt idx="0">
                  <c:v>BALANCE 
AGAINST</c:v>
                </c:pt>
              </c:strCache>
            </c:strRef>
          </c:tx>
          <c:spPr>
            <a:solidFill>
              <a:srgbClr val="F7DAD7"/>
            </a:solidFill>
            <a:ln>
              <a:noFill/>
              <a:prstDash val="solid"/>
            </a:ln>
          </c:spPr>
          <c:dLbls>
            <c:dLbl>
              <c:idx val="37"/>
              <c:layout>
                <c:manualLayout>
                  <c:x val="-2.6458333333333334E-2"/>
                  <c:y val="-2.2759856630824374E-3"/>
                </c:manualLayout>
              </c:layout>
              <c:spPr/>
              <c:txPr>
                <a:bodyPr/>
                <a:lstStyle/>
                <a:p>
                  <a:pPr>
                    <a:defRPr sz="1600" b="1" i="1">
                      <a:solidFill>
                        <a:srgbClr val="4A443E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2E-4734-B421-D451ED03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Playfair_1786!$B$9:$B$89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Playfair_1786!$F$9:$F$89</c:f>
              <c:numCache>
                <c:formatCode>#,##0.0</c:formatCode>
                <c:ptCount val="81"/>
                <c:pt idx="0">
                  <c:v>38.400000000000006</c:v>
                </c:pt>
                <c:pt idx="1">
                  <c:v>36.799999999999997</c:v>
                </c:pt>
                <c:pt idx="2">
                  <c:v>34.900000000000006</c:v>
                </c:pt>
                <c:pt idx="3">
                  <c:v>34.499999999999993</c:v>
                </c:pt>
                <c:pt idx="4">
                  <c:v>34.300000000000004</c:v>
                </c:pt>
                <c:pt idx="5">
                  <c:v>34.599999999999994</c:v>
                </c:pt>
                <c:pt idx="6">
                  <c:v>33.5</c:v>
                </c:pt>
                <c:pt idx="7">
                  <c:v>31.699999999999996</c:v>
                </c:pt>
                <c:pt idx="8">
                  <c:v>29.399999999999991</c:v>
                </c:pt>
                <c:pt idx="9">
                  <c:v>26.899999999999991</c:v>
                </c:pt>
                <c:pt idx="10">
                  <c:v>23.700000000000003</c:v>
                </c:pt>
                <c:pt idx="11">
                  <c:v>20</c:v>
                </c:pt>
                <c:pt idx="12">
                  <c:v>15.799999999999997</c:v>
                </c:pt>
                <c:pt idx="13">
                  <c:v>13.200000000000003</c:v>
                </c:pt>
                <c:pt idx="14">
                  <c:v>11.399999999999991</c:v>
                </c:pt>
                <c:pt idx="15">
                  <c:v>10.299999999999997</c:v>
                </c:pt>
                <c:pt idx="16">
                  <c:v>10.599999999999994</c:v>
                </c:pt>
                <c:pt idx="17">
                  <c:v>12</c:v>
                </c:pt>
                <c:pt idx="18">
                  <c:v>14.599999999999994</c:v>
                </c:pt>
                <c:pt idx="19">
                  <c:v>17.900000000000006</c:v>
                </c:pt>
                <c:pt idx="20">
                  <c:v>21.200000000000003</c:v>
                </c:pt>
                <c:pt idx="21">
                  <c:v>24</c:v>
                </c:pt>
                <c:pt idx="22">
                  <c:v>26.100000000000009</c:v>
                </c:pt>
                <c:pt idx="23">
                  <c:v>28</c:v>
                </c:pt>
                <c:pt idx="24">
                  <c:v>29</c:v>
                </c:pt>
                <c:pt idx="25">
                  <c:v>28.900000000000006</c:v>
                </c:pt>
                <c:pt idx="26">
                  <c:v>30.700000000000003</c:v>
                </c:pt>
                <c:pt idx="27">
                  <c:v>31.300000000000011</c:v>
                </c:pt>
                <c:pt idx="28">
                  <c:v>32.099999999999994</c:v>
                </c:pt>
                <c:pt idx="29">
                  <c:v>32.699999999999989</c:v>
                </c:pt>
                <c:pt idx="30">
                  <c:v>32.799999999999997</c:v>
                </c:pt>
                <c:pt idx="31">
                  <c:v>33.200000000000003</c:v>
                </c:pt>
                <c:pt idx="32">
                  <c:v>32.800000000000004</c:v>
                </c:pt>
                <c:pt idx="33">
                  <c:v>32.799999999999997</c:v>
                </c:pt>
                <c:pt idx="34">
                  <c:v>32.6</c:v>
                </c:pt>
                <c:pt idx="35">
                  <c:v>32.000000000000007</c:v>
                </c:pt>
                <c:pt idx="36">
                  <c:v>32.299999999999997</c:v>
                </c:pt>
                <c:pt idx="37">
                  <c:v>31.5</c:v>
                </c:pt>
                <c:pt idx="38">
                  <c:v>30.400000000000006</c:v>
                </c:pt>
                <c:pt idx="39">
                  <c:v>29.200000000000003</c:v>
                </c:pt>
                <c:pt idx="40">
                  <c:v>27.5</c:v>
                </c:pt>
                <c:pt idx="41">
                  <c:v>25.700000000000003</c:v>
                </c:pt>
                <c:pt idx="42">
                  <c:v>23.700000000000003</c:v>
                </c:pt>
                <c:pt idx="43">
                  <c:v>21</c:v>
                </c:pt>
                <c:pt idx="44">
                  <c:v>19.399999999999991</c:v>
                </c:pt>
                <c:pt idx="45">
                  <c:v>18.299999999999997</c:v>
                </c:pt>
                <c:pt idx="46">
                  <c:v>17</c:v>
                </c:pt>
                <c:pt idx="47">
                  <c:v>16.599999999999994</c:v>
                </c:pt>
                <c:pt idx="48">
                  <c:v>15.799999999999997</c:v>
                </c:pt>
                <c:pt idx="49">
                  <c:v>14.299999999999997</c:v>
                </c:pt>
                <c:pt idx="50">
                  <c:v>12.700000000000003</c:v>
                </c:pt>
                <c:pt idx="51">
                  <c:v>10.799999999999997</c:v>
                </c:pt>
                <c:pt idx="52">
                  <c:v>7.8000000000000114</c:v>
                </c:pt>
                <c:pt idx="53">
                  <c:v>4.0999999999999943</c:v>
                </c:pt>
                <c:pt idx="54">
                  <c:v>1.6000000000000085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2E-4734-B421-D451ED0354DE}"/>
            </c:ext>
          </c:extLst>
        </c:ser>
        <c:ser>
          <c:idx val="2"/>
          <c:order val="2"/>
          <c:tx>
            <c:strRef>
              <c:f>Playfair_1786!$G$8</c:f>
              <c:strCache>
                <c:ptCount val="1"/>
                <c:pt idx="0">
                  <c:v>BALANCE in 
FAVOUR of</c:v>
                </c:pt>
              </c:strCache>
            </c:strRef>
          </c:tx>
          <c:spPr>
            <a:solidFill>
              <a:srgbClr val="E7D9B5"/>
            </a:solidFill>
            <a:ln>
              <a:noFill/>
              <a:prstDash val="solid"/>
            </a:ln>
          </c:spPr>
          <c:dLbls>
            <c:dLbl>
              <c:idx val="68"/>
              <c:layout>
                <c:manualLayout>
                  <c:x val="5.144675925925915E-2"/>
                  <c:y val="-7.2831541218637996E-2"/>
                </c:manualLayout>
              </c:layout>
              <c:spPr/>
              <c:txPr>
                <a:bodyPr/>
                <a:lstStyle/>
                <a:p>
                  <a:pPr>
                    <a:defRPr sz="1600" b="1" i="1">
                      <a:solidFill>
                        <a:srgbClr val="4A443E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E-4734-B421-D451ED03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Playfair_1786!$B$9:$B$89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Playfair_1786!$G$9:$G$89</c:f>
              <c:numCache>
                <c:formatCode>#,##0.0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4.2000000000000028</c:v>
                </c:pt>
                <c:pt idx="56">
                  <c:v>8.3999999999999915</c:v>
                </c:pt>
                <c:pt idx="57">
                  <c:v>14.099999999999994</c:v>
                </c:pt>
                <c:pt idx="58">
                  <c:v>20.400000000000006</c:v>
                </c:pt>
                <c:pt idx="59">
                  <c:v>28</c:v>
                </c:pt>
                <c:pt idx="60">
                  <c:v>41.899999999999991</c:v>
                </c:pt>
                <c:pt idx="61">
                  <c:v>50.300000000000011</c:v>
                </c:pt>
                <c:pt idx="62">
                  <c:v>57.599999999999994</c:v>
                </c:pt>
                <c:pt idx="63">
                  <c:v>64.399999999999991</c:v>
                </c:pt>
                <c:pt idx="64">
                  <c:v>67.8</c:v>
                </c:pt>
                <c:pt idx="65">
                  <c:v>71.399999999999991</c:v>
                </c:pt>
                <c:pt idx="66">
                  <c:v>72.600000000000009</c:v>
                </c:pt>
                <c:pt idx="67">
                  <c:v>74.8</c:v>
                </c:pt>
                <c:pt idx="68">
                  <c:v>77.300000000000011</c:v>
                </c:pt>
                <c:pt idx="69">
                  <c:v>79.199999999999989</c:v>
                </c:pt>
                <c:pt idx="70">
                  <c:v>80.199999999999989</c:v>
                </c:pt>
                <c:pt idx="71">
                  <c:v>80.699999999999989</c:v>
                </c:pt>
                <c:pt idx="72">
                  <c:v>81.899999999999991</c:v>
                </c:pt>
                <c:pt idx="73">
                  <c:v>83.5</c:v>
                </c:pt>
                <c:pt idx="74">
                  <c:v>85.200000000000017</c:v>
                </c:pt>
                <c:pt idx="75">
                  <c:v>87.300000000000011</c:v>
                </c:pt>
                <c:pt idx="76">
                  <c:v>89.9</c:v>
                </c:pt>
                <c:pt idx="77">
                  <c:v>91.4</c:v>
                </c:pt>
                <c:pt idx="78">
                  <c:v>92.800000000000011</c:v>
                </c:pt>
                <c:pt idx="79">
                  <c:v>93.7</c:v>
                </c:pt>
                <c:pt idx="80">
                  <c:v>93.999999999999986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2E-4734-B421-D451ED03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lineChart>
        <c:grouping val="standard"/>
        <c:varyColors val="1"/>
        <c:ser>
          <c:idx val="3"/>
          <c:order val="3"/>
          <c:tx>
            <c:strRef>
              <c:f>Playfair_1786!$H$8</c:f>
              <c:strCache>
                <c:ptCount val="1"/>
                <c:pt idx="0">
                  <c:v>100</c:v>
                </c:pt>
              </c:strCache>
            </c:strRef>
          </c:tx>
          <c:spPr>
            <a:ln w="22225">
              <a:solidFill>
                <a:srgbClr val="4A443E"/>
              </a:solidFill>
              <a:prstDash val="solid"/>
            </a:ln>
          </c:spPr>
          <c:marker>
            <c:symbol val="none"/>
          </c:marker>
          <c:dLbls>
            <c:dLbl>
              <c:idx val="80"/>
              <c:layout>
                <c:manualLayout>
                  <c:x val="-4.7809837962963071E-2"/>
                  <c:y val="-2.0483870967741936E-2"/>
                </c:manualLayout>
              </c:layout>
              <c:numFmt formatCode="#,##0&quot;,000&quot;" sourceLinked="0"/>
              <c:spPr/>
              <c:txPr>
                <a:bodyPr/>
                <a:lstStyle/>
                <a:p>
                  <a:pPr>
                    <a:defRPr sz="1000" b="0" i="1">
                      <a:solidFill>
                        <a:srgbClr val="4A443E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E-4734-B421-D451ED03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Playfair_1786!$B$9:$B$89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Playfair_1786!$H$9:$H$89</c:f>
              <c:numCache>
                <c:formatCode>#,##0.0</c:formatCode>
                <c:ptCount val="8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2E-4734-B421-D451ED0354DE}"/>
            </c:ext>
          </c:extLst>
        </c:ser>
        <c:ser>
          <c:idx val="4"/>
          <c:order val="4"/>
          <c:tx>
            <c:strRef>
              <c:f>Playfair_1786!$C$8</c:f>
              <c:strCache>
                <c:ptCount val="1"/>
                <c:pt idx="0">
                  <c:v>Line of Imports</c:v>
                </c:pt>
              </c:strCache>
            </c:strRef>
          </c:tx>
          <c:spPr>
            <a:ln w="31750">
              <a:solidFill>
                <a:srgbClr val="D48D50"/>
              </a:solidFill>
              <a:prstDash val="solid"/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0.14367245370370371"/>
                  <c:y val="-1.6165232974910394E-2"/>
                </c:manualLayout>
              </c:layout>
              <c:spPr/>
              <c:txPr>
                <a:bodyPr/>
                <a:lstStyle/>
                <a:p>
                  <a:pPr>
                    <a:defRPr sz="1100" b="0" i="1">
                      <a:solidFill>
                        <a:srgbClr val="4A443E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E-4734-B421-D451ED03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Playfair_1786!$B$9:$B$89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Playfair_1786!$C$9:$C$89</c:f>
              <c:numCache>
                <c:formatCode>#,##0.0</c:formatCode>
                <c:ptCount val="81"/>
                <c:pt idx="0">
                  <c:v>71.900000000000006</c:v>
                </c:pt>
                <c:pt idx="1">
                  <c:v>72.099999999999994</c:v>
                </c:pt>
                <c:pt idx="2">
                  <c:v>72.7</c:v>
                </c:pt>
                <c:pt idx="3">
                  <c:v>74.099999999999994</c:v>
                </c:pt>
                <c:pt idx="4">
                  <c:v>75.2</c:v>
                </c:pt>
                <c:pt idx="5">
                  <c:v>76.099999999999994</c:v>
                </c:pt>
                <c:pt idx="6">
                  <c:v>77</c:v>
                </c:pt>
                <c:pt idx="7">
                  <c:v>78.3</c:v>
                </c:pt>
                <c:pt idx="8">
                  <c:v>79.599999999999994</c:v>
                </c:pt>
                <c:pt idx="9">
                  <c:v>81.599999999999994</c:v>
                </c:pt>
                <c:pt idx="10">
                  <c:v>82.9</c:v>
                </c:pt>
                <c:pt idx="11">
                  <c:v>84</c:v>
                </c:pt>
                <c:pt idx="12">
                  <c:v>85</c:v>
                </c:pt>
                <c:pt idx="13">
                  <c:v>85.9</c:v>
                </c:pt>
                <c:pt idx="14">
                  <c:v>87.1</c:v>
                </c:pt>
                <c:pt idx="15">
                  <c:v>87.8</c:v>
                </c:pt>
                <c:pt idx="16">
                  <c:v>89</c:v>
                </c:pt>
                <c:pt idx="17">
                  <c:v>90.2</c:v>
                </c:pt>
                <c:pt idx="18">
                  <c:v>92.1</c:v>
                </c:pt>
                <c:pt idx="19">
                  <c:v>95</c:v>
                </c:pt>
                <c:pt idx="20">
                  <c:v>97.9</c:v>
                </c:pt>
                <c:pt idx="21">
                  <c:v>100</c:v>
                </c:pt>
                <c:pt idx="22">
                  <c:v>101.4</c:v>
                </c:pt>
                <c:pt idx="23">
                  <c:v>102.7</c:v>
                </c:pt>
                <c:pt idx="24">
                  <c:v>102.8</c:v>
                </c:pt>
                <c:pt idx="25">
                  <c:v>102</c:v>
                </c:pt>
                <c:pt idx="26">
                  <c:v>102.8</c:v>
                </c:pt>
                <c:pt idx="27">
                  <c:v>101.9</c:v>
                </c:pt>
                <c:pt idx="28">
                  <c:v>101</c:v>
                </c:pt>
                <c:pt idx="29">
                  <c:v>100.1</c:v>
                </c:pt>
                <c:pt idx="30">
                  <c:v>97.8</c:v>
                </c:pt>
                <c:pt idx="31">
                  <c:v>96.7</c:v>
                </c:pt>
                <c:pt idx="32">
                  <c:v>95.2</c:v>
                </c:pt>
                <c:pt idx="33">
                  <c:v>94.3</c:v>
                </c:pt>
                <c:pt idx="34">
                  <c:v>94</c:v>
                </c:pt>
                <c:pt idx="35">
                  <c:v>93.4</c:v>
                </c:pt>
                <c:pt idx="36">
                  <c:v>93.6</c:v>
                </c:pt>
                <c:pt idx="37">
                  <c:v>93.5</c:v>
                </c:pt>
                <c:pt idx="38">
                  <c:v>93.4</c:v>
                </c:pt>
                <c:pt idx="39">
                  <c:v>93.5</c:v>
                </c:pt>
                <c:pt idx="40">
                  <c:v>93.5</c:v>
                </c:pt>
                <c:pt idx="41">
                  <c:v>93.7</c:v>
                </c:pt>
                <c:pt idx="42">
                  <c:v>93.9</c:v>
                </c:pt>
                <c:pt idx="43">
                  <c:v>93.5</c:v>
                </c:pt>
                <c:pt idx="44">
                  <c:v>93.3</c:v>
                </c:pt>
                <c:pt idx="45">
                  <c:v>93</c:v>
                </c:pt>
                <c:pt idx="46">
                  <c:v>92.3</c:v>
                </c:pt>
                <c:pt idx="47">
                  <c:v>92.5</c:v>
                </c:pt>
                <c:pt idx="48">
                  <c:v>92.1</c:v>
                </c:pt>
                <c:pt idx="49">
                  <c:v>91.5</c:v>
                </c:pt>
                <c:pt idx="50">
                  <c:v>90.9</c:v>
                </c:pt>
                <c:pt idx="51">
                  <c:v>90</c:v>
                </c:pt>
                <c:pt idx="52">
                  <c:v>87.9</c:v>
                </c:pt>
                <c:pt idx="53">
                  <c:v>84.8</c:v>
                </c:pt>
                <c:pt idx="54">
                  <c:v>82.9</c:v>
                </c:pt>
                <c:pt idx="55">
                  <c:v>79.8</c:v>
                </c:pt>
                <c:pt idx="56">
                  <c:v>78.400000000000006</c:v>
                </c:pt>
                <c:pt idx="57">
                  <c:v>78</c:v>
                </c:pt>
                <c:pt idx="58">
                  <c:v>77.5</c:v>
                </c:pt>
                <c:pt idx="59">
                  <c:v>77.400000000000006</c:v>
                </c:pt>
                <c:pt idx="60">
                  <c:v>77.400000000000006</c:v>
                </c:pt>
                <c:pt idx="61">
                  <c:v>77.599999999999994</c:v>
                </c:pt>
                <c:pt idx="62">
                  <c:v>78</c:v>
                </c:pt>
                <c:pt idx="63">
                  <c:v>78.2</c:v>
                </c:pt>
                <c:pt idx="64">
                  <c:v>78.7</c:v>
                </c:pt>
                <c:pt idx="65">
                  <c:v>79.3</c:v>
                </c:pt>
                <c:pt idx="66">
                  <c:v>80.2</c:v>
                </c:pt>
                <c:pt idx="67">
                  <c:v>81.2</c:v>
                </c:pt>
                <c:pt idx="68">
                  <c:v>82</c:v>
                </c:pt>
                <c:pt idx="69">
                  <c:v>82.9</c:v>
                </c:pt>
                <c:pt idx="70">
                  <c:v>84</c:v>
                </c:pt>
                <c:pt idx="71">
                  <c:v>85.9</c:v>
                </c:pt>
                <c:pt idx="72">
                  <c:v>87.3</c:v>
                </c:pt>
                <c:pt idx="73">
                  <c:v>89</c:v>
                </c:pt>
                <c:pt idx="74">
                  <c:v>90.6</c:v>
                </c:pt>
                <c:pt idx="75">
                  <c:v>91.5</c:v>
                </c:pt>
                <c:pt idx="76">
                  <c:v>91.6</c:v>
                </c:pt>
                <c:pt idx="77">
                  <c:v>92</c:v>
                </c:pt>
                <c:pt idx="78">
                  <c:v>92</c:v>
                </c:pt>
                <c:pt idx="79">
                  <c:v>92.3</c:v>
                </c:pt>
                <c:pt idx="80">
                  <c:v>92.7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2E-4734-B421-D451ED0354DE}"/>
            </c:ext>
          </c:extLst>
        </c:ser>
        <c:ser>
          <c:idx val="5"/>
          <c:order val="5"/>
          <c:tx>
            <c:strRef>
              <c:f>Playfair_1786!$D$8</c:f>
              <c:strCache>
                <c:ptCount val="1"/>
                <c:pt idx="0">
                  <c:v>Line of Exports</c:v>
                </c:pt>
              </c:strCache>
            </c:strRef>
          </c:tx>
          <c:spPr>
            <a:ln w="31750">
              <a:solidFill>
                <a:srgbClr val="B05058"/>
              </a:solidFill>
              <a:prstDash val="solid"/>
            </a:ln>
          </c:spPr>
          <c:marker>
            <c:symbol val="none"/>
          </c:marker>
          <c:dLbls>
            <c:dLbl>
              <c:idx val="30"/>
              <c:layout>
                <c:manualLayout>
                  <c:x val="-1.0487847222222223E-2"/>
                  <c:y val="4.3010394265232975E-2"/>
                </c:manualLayout>
              </c:layout>
              <c:spPr/>
              <c:txPr>
                <a:bodyPr/>
                <a:lstStyle/>
                <a:p>
                  <a:pPr>
                    <a:defRPr sz="1100" b="0" i="1">
                      <a:solidFill>
                        <a:srgbClr val="4A443E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E-4734-B421-D451ED03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Playfair_1786!$B$9:$B$89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Playfair_1786!$D$9:$D$89</c:f>
              <c:numCache>
                <c:formatCode>#,##0.0</c:formatCode>
                <c:ptCount val="81"/>
                <c:pt idx="0">
                  <c:v>33.5</c:v>
                </c:pt>
                <c:pt idx="1">
                  <c:v>35.299999999999997</c:v>
                </c:pt>
                <c:pt idx="2">
                  <c:v>37.799999999999997</c:v>
                </c:pt>
                <c:pt idx="3">
                  <c:v>39.6</c:v>
                </c:pt>
                <c:pt idx="4">
                  <c:v>40.9</c:v>
                </c:pt>
                <c:pt idx="5">
                  <c:v>41.5</c:v>
                </c:pt>
                <c:pt idx="6">
                  <c:v>43.5</c:v>
                </c:pt>
                <c:pt idx="7">
                  <c:v>46.6</c:v>
                </c:pt>
                <c:pt idx="8">
                  <c:v>50.2</c:v>
                </c:pt>
                <c:pt idx="9">
                  <c:v>54.7</c:v>
                </c:pt>
                <c:pt idx="10">
                  <c:v>59.2</c:v>
                </c:pt>
                <c:pt idx="11">
                  <c:v>64</c:v>
                </c:pt>
                <c:pt idx="12">
                  <c:v>69.2</c:v>
                </c:pt>
                <c:pt idx="13">
                  <c:v>72.7</c:v>
                </c:pt>
                <c:pt idx="14">
                  <c:v>75.7</c:v>
                </c:pt>
                <c:pt idx="15">
                  <c:v>77.5</c:v>
                </c:pt>
                <c:pt idx="16">
                  <c:v>78.400000000000006</c:v>
                </c:pt>
                <c:pt idx="17">
                  <c:v>78.2</c:v>
                </c:pt>
                <c:pt idx="18">
                  <c:v>77.5</c:v>
                </c:pt>
                <c:pt idx="19">
                  <c:v>77.099999999999994</c:v>
                </c:pt>
                <c:pt idx="20">
                  <c:v>76.7</c:v>
                </c:pt>
                <c:pt idx="21">
                  <c:v>76</c:v>
                </c:pt>
                <c:pt idx="22">
                  <c:v>75.3</c:v>
                </c:pt>
                <c:pt idx="23">
                  <c:v>74.7</c:v>
                </c:pt>
                <c:pt idx="24">
                  <c:v>73.8</c:v>
                </c:pt>
                <c:pt idx="25">
                  <c:v>73.099999999999994</c:v>
                </c:pt>
                <c:pt idx="26">
                  <c:v>72.099999999999994</c:v>
                </c:pt>
                <c:pt idx="27">
                  <c:v>70.599999999999994</c:v>
                </c:pt>
                <c:pt idx="28">
                  <c:v>68.900000000000006</c:v>
                </c:pt>
                <c:pt idx="29">
                  <c:v>67.400000000000006</c:v>
                </c:pt>
                <c:pt idx="30">
                  <c:v>65</c:v>
                </c:pt>
                <c:pt idx="31">
                  <c:v>63.5</c:v>
                </c:pt>
                <c:pt idx="32">
                  <c:v>62.4</c:v>
                </c:pt>
                <c:pt idx="33">
                  <c:v>61.5</c:v>
                </c:pt>
                <c:pt idx="34">
                  <c:v>61.4</c:v>
                </c:pt>
                <c:pt idx="35">
                  <c:v>61.4</c:v>
                </c:pt>
                <c:pt idx="36">
                  <c:v>61.3</c:v>
                </c:pt>
                <c:pt idx="37">
                  <c:v>62</c:v>
                </c:pt>
                <c:pt idx="38">
                  <c:v>63</c:v>
                </c:pt>
                <c:pt idx="39">
                  <c:v>64.3</c:v>
                </c:pt>
                <c:pt idx="40">
                  <c:v>66</c:v>
                </c:pt>
                <c:pt idx="41">
                  <c:v>68</c:v>
                </c:pt>
                <c:pt idx="42">
                  <c:v>70.2</c:v>
                </c:pt>
                <c:pt idx="43">
                  <c:v>72.5</c:v>
                </c:pt>
                <c:pt idx="44">
                  <c:v>73.900000000000006</c:v>
                </c:pt>
                <c:pt idx="45">
                  <c:v>74.7</c:v>
                </c:pt>
                <c:pt idx="46">
                  <c:v>75.3</c:v>
                </c:pt>
                <c:pt idx="47">
                  <c:v>75.900000000000006</c:v>
                </c:pt>
                <c:pt idx="48">
                  <c:v>76.3</c:v>
                </c:pt>
                <c:pt idx="49">
                  <c:v>77.2</c:v>
                </c:pt>
                <c:pt idx="50">
                  <c:v>78.2</c:v>
                </c:pt>
                <c:pt idx="51">
                  <c:v>79.2</c:v>
                </c:pt>
                <c:pt idx="52">
                  <c:v>80.099999999999994</c:v>
                </c:pt>
                <c:pt idx="53">
                  <c:v>80.7</c:v>
                </c:pt>
                <c:pt idx="54">
                  <c:v>81.3</c:v>
                </c:pt>
                <c:pt idx="55">
                  <c:v>84</c:v>
                </c:pt>
                <c:pt idx="56">
                  <c:v>86.8</c:v>
                </c:pt>
                <c:pt idx="57">
                  <c:v>92.1</c:v>
                </c:pt>
                <c:pt idx="58">
                  <c:v>97.9</c:v>
                </c:pt>
                <c:pt idx="59">
                  <c:v>105.4</c:v>
                </c:pt>
                <c:pt idx="60">
                  <c:v>119.3</c:v>
                </c:pt>
                <c:pt idx="61">
                  <c:v>127.9</c:v>
                </c:pt>
                <c:pt idx="62">
                  <c:v>135.6</c:v>
                </c:pt>
                <c:pt idx="63">
                  <c:v>142.6</c:v>
                </c:pt>
                <c:pt idx="64">
                  <c:v>146.5</c:v>
                </c:pt>
                <c:pt idx="65">
                  <c:v>150.69999999999999</c:v>
                </c:pt>
                <c:pt idx="66">
                  <c:v>152.80000000000001</c:v>
                </c:pt>
                <c:pt idx="67">
                  <c:v>156</c:v>
                </c:pt>
                <c:pt idx="68">
                  <c:v>159.30000000000001</c:v>
                </c:pt>
                <c:pt idx="69">
                  <c:v>162.1</c:v>
                </c:pt>
                <c:pt idx="70">
                  <c:v>164.2</c:v>
                </c:pt>
                <c:pt idx="71">
                  <c:v>166.6</c:v>
                </c:pt>
                <c:pt idx="72">
                  <c:v>169.2</c:v>
                </c:pt>
                <c:pt idx="73">
                  <c:v>172.5</c:v>
                </c:pt>
                <c:pt idx="74">
                  <c:v>175.8</c:v>
                </c:pt>
                <c:pt idx="75">
                  <c:v>178.8</c:v>
                </c:pt>
                <c:pt idx="76">
                  <c:v>181.5</c:v>
                </c:pt>
                <c:pt idx="77">
                  <c:v>183.4</c:v>
                </c:pt>
                <c:pt idx="78">
                  <c:v>184.8</c:v>
                </c:pt>
                <c:pt idx="79">
                  <c:v>186</c:v>
                </c:pt>
                <c:pt idx="80">
                  <c:v>186.7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2E-4734-B421-D451ED03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8A837C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rgbClr val="4A443E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4A443E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>
          <c:spPr>
            <a:ln w="9525">
              <a:solidFill>
                <a:srgbClr val="8A837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high"/>
        <c:spPr>
          <a:ln w="9525">
            <a:solidFill>
              <a:srgbClr val="4A443E"/>
            </a:solidFill>
            <a:prstDash val="solid"/>
          </a:ln>
        </c:spPr>
        <c:txPr>
          <a:bodyPr/>
          <a:lstStyle/>
          <a:p>
            <a:pPr>
              <a:defRPr sz="800" b="0" i="0">
                <a:solidFill>
                  <a:srgbClr val="4A443E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0"/>
        <c:crosses val="autoZero"/>
        <c:crossBetween val="between"/>
        <c:majorUnit val="10"/>
        <c:minorUnit val="10"/>
      </c:valAx>
      <c:spPr>
        <a:solidFill>
          <a:srgbClr val="FFFFFF"/>
        </a:solidFill>
        <a:ln w="15875">
          <a:solidFill>
            <a:srgbClr val="4A443E"/>
          </a:solidFill>
          <a:prstDash val="solid"/>
        </a:ln>
      </c:spPr>
    </c:plotArea>
    <c:plotVisOnly val="1"/>
    <c:dispBlanksAs val="gap"/>
    <c:showDLblsOverMax val="1"/>
  </c:chart>
  <c:spPr>
    <a:solidFill>
      <a:srgbClr val="FFFFFF"/>
    </a:solidFill>
    <a:ln w="28575">
      <a:solidFill>
        <a:srgbClr val="4A443E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300" b="1" i="0">
                <a:solidFill>
                  <a:srgbClr val="262A33"/>
                </a:solidFill>
              </a:defRPr>
            </a:pPr>
            <a:r>
              <a:rPr lang="en-US" sz="1300" b="1" i="0">
                <a:solidFill>
                  <a:srgbClr val="262A33"/>
                </a:solidFill>
              </a:rPr>
              <a:t>Exports overtook imports in 1755 and never looked back</a:t>
            </a:r>
          </a:p>
        </c:rich>
      </c:tx>
      <c:layout>
        <c:manualLayout>
          <c:xMode val="edge"/>
          <c:yMode val="edge"/>
          <c:x val="0.01"/>
          <c:y val="1.4999999999999999E-2"/>
        </c:manualLayout>
      </c:layout>
      <c:overlay val="0"/>
    </c:title>
    <c:autoTitleDeleted val="0"/>
    <c:plotArea>
      <c:layout>
        <c:manualLayout>
          <c:xMode val="edge"/>
          <c:yMode val="edge"/>
          <c:x val="0.05"/>
          <c:y val="0.16"/>
          <c:w val="0.79"/>
          <c:h val="0.72"/>
        </c:manualLayout>
      </c:layout>
      <c:lineChart>
        <c:grouping val="standard"/>
        <c:varyColors val="1"/>
        <c:ser>
          <c:idx val="0"/>
          <c:order val="0"/>
          <c:tx>
            <c:strRef>
              <c:f>Balance!$C$8</c:f>
              <c:strCache>
                <c:ptCount val="1"/>
                <c:pt idx="0">
                  <c:v>Imports</c:v>
                </c:pt>
              </c:strCache>
            </c:strRef>
          </c:tx>
          <c:spPr>
            <a:ln w="19050">
              <a:solidFill>
                <a:srgbClr val="8C8C8C"/>
              </a:solidFill>
              <a:prstDash val="solid"/>
            </a:ln>
          </c:spPr>
          <c:marker>
            <c:symbol val="none"/>
          </c:marker>
          <c:dLbls>
            <c:dLbl>
              <c:idx val="80"/>
              <c:numFmt formatCode="#,##0" sourceLinked="0"/>
              <c:spPr/>
              <c:txPr>
                <a:bodyPr/>
                <a:lstStyle/>
                <a:p>
                  <a:pPr>
                    <a:defRPr sz="1100" b="1" i="0">
                      <a:solidFill>
                        <a:srgbClr val="8C8C8C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CB-4929-9E23-F4F3FA1C11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Balance!$B$9:$B$89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Balance!$C$9:$C$89</c:f>
              <c:numCache>
                <c:formatCode>#,##0.0</c:formatCode>
                <c:ptCount val="81"/>
                <c:pt idx="0">
                  <c:v>71.900000000000006</c:v>
                </c:pt>
                <c:pt idx="1">
                  <c:v>72.099999999999994</c:v>
                </c:pt>
                <c:pt idx="2">
                  <c:v>72.7</c:v>
                </c:pt>
                <c:pt idx="3">
                  <c:v>74.099999999999994</c:v>
                </c:pt>
                <c:pt idx="4">
                  <c:v>75.2</c:v>
                </c:pt>
                <c:pt idx="5">
                  <c:v>76.099999999999994</c:v>
                </c:pt>
                <c:pt idx="6">
                  <c:v>77</c:v>
                </c:pt>
                <c:pt idx="7">
                  <c:v>78.3</c:v>
                </c:pt>
                <c:pt idx="8">
                  <c:v>79.599999999999994</c:v>
                </c:pt>
                <c:pt idx="9">
                  <c:v>81.599999999999994</c:v>
                </c:pt>
                <c:pt idx="10">
                  <c:v>82.9</c:v>
                </c:pt>
                <c:pt idx="11">
                  <c:v>84</c:v>
                </c:pt>
                <c:pt idx="12">
                  <c:v>85</c:v>
                </c:pt>
                <c:pt idx="13">
                  <c:v>85.9</c:v>
                </c:pt>
                <c:pt idx="14">
                  <c:v>87.1</c:v>
                </c:pt>
                <c:pt idx="15">
                  <c:v>87.8</c:v>
                </c:pt>
                <c:pt idx="16">
                  <c:v>89</c:v>
                </c:pt>
                <c:pt idx="17">
                  <c:v>90.2</c:v>
                </c:pt>
                <c:pt idx="18">
                  <c:v>92.1</c:v>
                </c:pt>
                <c:pt idx="19">
                  <c:v>95</c:v>
                </c:pt>
                <c:pt idx="20">
                  <c:v>97.9</c:v>
                </c:pt>
                <c:pt idx="21">
                  <c:v>100</c:v>
                </c:pt>
                <c:pt idx="22">
                  <c:v>101.4</c:v>
                </c:pt>
                <c:pt idx="23">
                  <c:v>102.7</c:v>
                </c:pt>
                <c:pt idx="24">
                  <c:v>102.8</c:v>
                </c:pt>
                <c:pt idx="25">
                  <c:v>102</c:v>
                </c:pt>
                <c:pt idx="26">
                  <c:v>102.8</c:v>
                </c:pt>
                <c:pt idx="27">
                  <c:v>101.9</c:v>
                </c:pt>
                <c:pt idx="28">
                  <c:v>101</c:v>
                </c:pt>
                <c:pt idx="29">
                  <c:v>100.1</c:v>
                </c:pt>
                <c:pt idx="30">
                  <c:v>97.8</c:v>
                </c:pt>
                <c:pt idx="31">
                  <c:v>96.7</c:v>
                </c:pt>
                <c:pt idx="32">
                  <c:v>95.2</c:v>
                </c:pt>
                <c:pt idx="33">
                  <c:v>94.3</c:v>
                </c:pt>
                <c:pt idx="34">
                  <c:v>94</c:v>
                </c:pt>
                <c:pt idx="35">
                  <c:v>93.4</c:v>
                </c:pt>
                <c:pt idx="36">
                  <c:v>93.6</c:v>
                </c:pt>
                <c:pt idx="37">
                  <c:v>93.5</c:v>
                </c:pt>
                <c:pt idx="38">
                  <c:v>93.4</c:v>
                </c:pt>
                <c:pt idx="39">
                  <c:v>93.5</c:v>
                </c:pt>
                <c:pt idx="40">
                  <c:v>93.5</c:v>
                </c:pt>
                <c:pt idx="41">
                  <c:v>93.7</c:v>
                </c:pt>
                <c:pt idx="42">
                  <c:v>93.9</c:v>
                </c:pt>
                <c:pt idx="43">
                  <c:v>93.5</c:v>
                </c:pt>
                <c:pt idx="44">
                  <c:v>93.3</c:v>
                </c:pt>
                <c:pt idx="45">
                  <c:v>93</c:v>
                </c:pt>
                <c:pt idx="46">
                  <c:v>92.3</c:v>
                </c:pt>
                <c:pt idx="47">
                  <c:v>92.5</c:v>
                </c:pt>
                <c:pt idx="48">
                  <c:v>92.1</c:v>
                </c:pt>
                <c:pt idx="49">
                  <c:v>91.5</c:v>
                </c:pt>
                <c:pt idx="50">
                  <c:v>90.9</c:v>
                </c:pt>
                <c:pt idx="51">
                  <c:v>90</c:v>
                </c:pt>
                <c:pt idx="52">
                  <c:v>87.9</c:v>
                </c:pt>
                <c:pt idx="53">
                  <c:v>84.8</c:v>
                </c:pt>
                <c:pt idx="54">
                  <c:v>82.9</c:v>
                </c:pt>
                <c:pt idx="55">
                  <c:v>79.8</c:v>
                </c:pt>
                <c:pt idx="56">
                  <c:v>78.400000000000006</c:v>
                </c:pt>
                <c:pt idx="57">
                  <c:v>78</c:v>
                </c:pt>
                <c:pt idx="58">
                  <c:v>77.5</c:v>
                </c:pt>
                <c:pt idx="59">
                  <c:v>77.400000000000006</c:v>
                </c:pt>
                <c:pt idx="60">
                  <c:v>77.400000000000006</c:v>
                </c:pt>
                <c:pt idx="61">
                  <c:v>77.599999999999994</c:v>
                </c:pt>
                <c:pt idx="62">
                  <c:v>78</c:v>
                </c:pt>
                <c:pt idx="63">
                  <c:v>78.2</c:v>
                </c:pt>
                <c:pt idx="64">
                  <c:v>78.7</c:v>
                </c:pt>
                <c:pt idx="65">
                  <c:v>79.3</c:v>
                </c:pt>
                <c:pt idx="66">
                  <c:v>80.2</c:v>
                </c:pt>
                <c:pt idx="67">
                  <c:v>81.2</c:v>
                </c:pt>
                <c:pt idx="68">
                  <c:v>82</c:v>
                </c:pt>
                <c:pt idx="69">
                  <c:v>82.9</c:v>
                </c:pt>
                <c:pt idx="70">
                  <c:v>84</c:v>
                </c:pt>
                <c:pt idx="71">
                  <c:v>85.9</c:v>
                </c:pt>
                <c:pt idx="72">
                  <c:v>87.3</c:v>
                </c:pt>
                <c:pt idx="73">
                  <c:v>89</c:v>
                </c:pt>
                <c:pt idx="74">
                  <c:v>90.6</c:v>
                </c:pt>
                <c:pt idx="75">
                  <c:v>91.5</c:v>
                </c:pt>
                <c:pt idx="76">
                  <c:v>91.6</c:v>
                </c:pt>
                <c:pt idx="77">
                  <c:v>92</c:v>
                </c:pt>
                <c:pt idx="78">
                  <c:v>92</c:v>
                </c:pt>
                <c:pt idx="79">
                  <c:v>92.3</c:v>
                </c:pt>
                <c:pt idx="80">
                  <c:v>92.7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B-4929-9E23-F4F3FA1C1136}"/>
            </c:ext>
          </c:extLst>
        </c:ser>
        <c:ser>
          <c:idx val="1"/>
          <c:order val="1"/>
          <c:tx>
            <c:strRef>
              <c:f>Balance!$D$8</c:f>
              <c:strCache>
                <c:ptCount val="1"/>
                <c:pt idx="0">
                  <c:v>Exports</c:v>
                </c:pt>
              </c:strCache>
            </c:strRef>
          </c:tx>
          <c:spPr>
            <a:ln w="31750">
              <a:solidFill>
                <a:srgbClr val="0F5499"/>
              </a:solidFill>
              <a:prstDash val="solid"/>
            </a:ln>
          </c:spPr>
          <c:marker>
            <c:symbol val="none"/>
          </c:marker>
          <c:dLbls>
            <c:dLbl>
              <c:idx val="80"/>
              <c:numFmt formatCode="#,##0" sourceLinked="0"/>
              <c:spPr/>
              <c:txPr>
                <a:bodyPr/>
                <a:lstStyle/>
                <a:p>
                  <a:pPr>
                    <a:defRPr sz="1100" b="1" i="0">
                      <a:solidFill>
                        <a:srgbClr val="0F5499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CB-4929-9E23-F4F3FA1C11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Balance!$B$9:$B$89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Balance!$D$9:$D$89</c:f>
              <c:numCache>
                <c:formatCode>#,##0.0</c:formatCode>
                <c:ptCount val="81"/>
                <c:pt idx="0">
                  <c:v>33.5</c:v>
                </c:pt>
                <c:pt idx="1">
                  <c:v>35.299999999999997</c:v>
                </c:pt>
                <c:pt idx="2">
                  <c:v>37.799999999999997</c:v>
                </c:pt>
                <c:pt idx="3">
                  <c:v>39.6</c:v>
                </c:pt>
                <c:pt idx="4">
                  <c:v>40.9</c:v>
                </c:pt>
                <c:pt idx="5">
                  <c:v>41.5</c:v>
                </c:pt>
                <c:pt idx="6">
                  <c:v>43.5</c:v>
                </c:pt>
                <c:pt idx="7">
                  <c:v>46.6</c:v>
                </c:pt>
                <c:pt idx="8">
                  <c:v>50.2</c:v>
                </c:pt>
                <c:pt idx="9">
                  <c:v>54.7</c:v>
                </c:pt>
                <c:pt idx="10">
                  <c:v>59.2</c:v>
                </c:pt>
                <c:pt idx="11">
                  <c:v>64</c:v>
                </c:pt>
                <c:pt idx="12">
                  <c:v>69.2</c:v>
                </c:pt>
                <c:pt idx="13">
                  <c:v>72.7</c:v>
                </c:pt>
                <c:pt idx="14">
                  <c:v>75.7</c:v>
                </c:pt>
                <c:pt idx="15">
                  <c:v>77.5</c:v>
                </c:pt>
                <c:pt idx="16">
                  <c:v>78.400000000000006</c:v>
                </c:pt>
                <c:pt idx="17">
                  <c:v>78.2</c:v>
                </c:pt>
                <c:pt idx="18">
                  <c:v>77.5</c:v>
                </c:pt>
                <c:pt idx="19">
                  <c:v>77.099999999999994</c:v>
                </c:pt>
                <c:pt idx="20">
                  <c:v>76.7</c:v>
                </c:pt>
                <c:pt idx="21">
                  <c:v>76</c:v>
                </c:pt>
                <c:pt idx="22">
                  <c:v>75.3</c:v>
                </c:pt>
                <c:pt idx="23">
                  <c:v>74.7</c:v>
                </c:pt>
                <c:pt idx="24">
                  <c:v>73.8</c:v>
                </c:pt>
                <c:pt idx="25">
                  <c:v>73.099999999999994</c:v>
                </c:pt>
                <c:pt idx="26">
                  <c:v>72.099999999999994</c:v>
                </c:pt>
                <c:pt idx="27">
                  <c:v>70.599999999999994</c:v>
                </c:pt>
                <c:pt idx="28">
                  <c:v>68.900000000000006</c:v>
                </c:pt>
                <c:pt idx="29">
                  <c:v>67.400000000000006</c:v>
                </c:pt>
                <c:pt idx="30">
                  <c:v>65</c:v>
                </c:pt>
                <c:pt idx="31">
                  <c:v>63.5</c:v>
                </c:pt>
                <c:pt idx="32">
                  <c:v>62.4</c:v>
                </c:pt>
                <c:pt idx="33">
                  <c:v>61.5</c:v>
                </c:pt>
                <c:pt idx="34">
                  <c:v>61.4</c:v>
                </c:pt>
                <c:pt idx="35">
                  <c:v>61.4</c:v>
                </c:pt>
                <c:pt idx="36">
                  <c:v>61.3</c:v>
                </c:pt>
                <c:pt idx="37">
                  <c:v>62</c:v>
                </c:pt>
                <c:pt idx="38">
                  <c:v>63</c:v>
                </c:pt>
                <c:pt idx="39">
                  <c:v>64.3</c:v>
                </c:pt>
                <c:pt idx="40">
                  <c:v>66</c:v>
                </c:pt>
                <c:pt idx="41">
                  <c:v>68</c:v>
                </c:pt>
                <c:pt idx="42">
                  <c:v>70.2</c:v>
                </c:pt>
                <c:pt idx="43">
                  <c:v>72.5</c:v>
                </c:pt>
                <c:pt idx="44">
                  <c:v>73.900000000000006</c:v>
                </c:pt>
                <c:pt idx="45">
                  <c:v>74.7</c:v>
                </c:pt>
                <c:pt idx="46">
                  <c:v>75.3</c:v>
                </c:pt>
                <c:pt idx="47">
                  <c:v>75.900000000000006</c:v>
                </c:pt>
                <c:pt idx="48">
                  <c:v>76.3</c:v>
                </c:pt>
                <c:pt idx="49">
                  <c:v>77.2</c:v>
                </c:pt>
                <c:pt idx="50">
                  <c:v>78.2</c:v>
                </c:pt>
                <c:pt idx="51">
                  <c:v>79.2</c:v>
                </c:pt>
                <c:pt idx="52">
                  <c:v>80.099999999999994</c:v>
                </c:pt>
                <c:pt idx="53">
                  <c:v>80.7</c:v>
                </c:pt>
                <c:pt idx="54">
                  <c:v>81.3</c:v>
                </c:pt>
                <c:pt idx="55">
                  <c:v>84</c:v>
                </c:pt>
                <c:pt idx="56">
                  <c:v>86.8</c:v>
                </c:pt>
                <c:pt idx="57">
                  <c:v>92.1</c:v>
                </c:pt>
                <c:pt idx="58">
                  <c:v>97.9</c:v>
                </c:pt>
                <c:pt idx="59">
                  <c:v>105.4</c:v>
                </c:pt>
                <c:pt idx="60">
                  <c:v>119.3</c:v>
                </c:pt>
                <c:pt idx="61">
                  <c:v>127.9</c:v>
                </c:pt>
                <c:pt idx="62">
                  <c:v>135.6</c:v>
                </c:pt>
                <c:pt idx="63">
                  <c:v>142.6</c:v>
                </c:pt>
                <c:pt idx="64">
                  <c:v>146.5</c:v>
                </c:pt>
                <c:pt idx="65">
                  <c:v>150.69999999999999</c:v>
                </c:pt>
                <c:pt idx="66">
                  <c:v>152.80000000000001</c:v>
                </c:pt>
                <c:pt idx="67">
                  <c:v>156</c:v>
                </c:pt>
                <c:pt idx="68">
                  <c:v>159.30000000000001</c:v>
                </c:pt>
                <c:pt idx="69">
                  <c:v>162.1</c:v>
                </c:pt>
                <c:pt idx="70">
                  <c:v>164.2</c:v>
                </c:pt>
                <c:pt idx="71">
                  <c:v>166.6</c:v>
                </c:pt>
                <c:pt idx="72">
                  <c:v>169.2</c:v>
                </c:pt>
                <c:pt idx="73">
                  <c:v>172.5</c:v>
                </c:pt>
                <c:pt idx="74">
                  <c:v>175.8</c:v>
                </c:pt>
                <c:pt idx="75">
                  <c:v>178.8</c:v>
                </c:pt>
                <c:pt idx="76">
                  <c:v>181.5</c:v>
                </c:pt>
                <c:pt idx="77">
                  <c:v>183.4</c:v>
                </c:pt>
                <c:pt idx="78">
                  <c:v>184.8</c:v>
                </c:pt>
                <c:pt idx="79">
                  <c:v>186</c:v>
                </c:pt>
                <c:pt idx="80">
                  <c:v>186.7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CB-4929-9E23-F4F3FA1C1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scatterChart>
        <c:scatterStyle val="lineMarker"/>
        <c:varyColors val="1"/>
        <c:ser>
          <c:idx val="2"/>
          <c:order val="2"/>
          <c:tx>
            <c:strRef>
              <c:f>Balance!$I$9</c:f>
              <c:strCache>
                <c:ptCount val="1"/>
                <c:pt idx="0">
                  <c:v>Balance turns in England's favour, 1755</c:v>
                </c:pt>
              </c:strCache>
            </c:strRef>
          </c:tx>
          <c:spPr>
            <a:ln w="9525">
              <a:solidFill>
                <a:srgbClr val="990F3D"/>
              </a:solidFill>
              <a:prstDash val="dash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0" i="0">
                      <a:solidFill>
                        <a:srgbClr val="990F3D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CB-4929-9E23-F4F3FA1C11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Balance!$J$9:$J$10</c:f>
              <c:numCache>
                <c:formatCode>General</c:formatCode>
                <c:ptCount val="2"/>
                <c:pt idx="0">
                  <c:v>56</c:v>
                </c:pt>
                <c:pt idx="1">
                  <c:v>56</c:v>
                </c:pt>
              </c:numCache>
            </c:numRef>
          </c:xVal>
          <c:yVal>
            <c:numRef>
              <c:f>Balance!$K$9:$K$10</c:f>
              <c:numCache>
                <c:formatCode>General</c:formatCode>
                <c:ptCount val="2"/>
                <c:pt idx="0">
                  <c:v>0</c:v>
                </c:pt>
                <c:pt idx="1">
                  <c:v>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CB-4929-9E23-F4F3FA1C1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"/>
        <c:axId val="200"/>
      </c:scatte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595959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>
          <c:spPr>
            <a:ln w="9525">
              <a:solidFill>
                <a:srgbClr val="E8E8E8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l">
                  <a:defRPr sz="1100" b="0">
                    <a:solidFill>
                      <a:srgbClr val="595959"/>
                    </a:solidFill>
                  </a:defRPr>
                </a:pPr>
                <a:r>
                  <a:rPr lang="en-US" sz="1100" b="0">
                    <a:solidFill>
                      <a:srgbClr val="595959"/>
                    </a:solidFill>
                  </a:rPr>
                  <a:t>Thousands of pounds sterling</a:t>
                </a:r>
              </a:p>
            </c:rich>
          </c:tx>
          <c:layout>
            <c:manualLayout>
              <c:xMode val="edge"/>
              <c:yMode val="edge"/>
              <c:x val="5.0000000000000001E-3"/>
              <c:y val="0.105"/>
              <c:w val="0.45"/>
              <c:h val="0.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595959"/>
                </a:solidFill>
              </a:defRPr>
            </a:pPr>
            <a:endParaRPr lang="en-US"/>
          </a:p>
        </c:txPr>
        <c:crossAx val="10"/>
        <c:crosses val="autoZero"/>
        <c:crossBetween val="between"/>
        <c:majorUnit val="50"/>
      </c:valAx>
      <c:valAx>
        <c:axId val="300"/>
        <c:scaling>
          <c:orientation val="minMax"/>
          <c:max val="81.5"/>
          <c:min val="0.5"/>
        </c:scaling>
        <c:delete val="0"/>
        <c:axPos val="t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0"/>
        <c:crosses val="max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300"/>
        <c:crosses val="max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300" b="1" i="0">
                <a:solidFill>
                  <a:srgbClr val="262A33"/>
                </a:solidFill>
              </a:defRPr>
            </a:pPr>
            <a:r>
              <a:rPr sz="1300" b="1" i="0">
                <a:solidFill>
                  <a:srgbClr val="262A33"/>
                </a:solidFill>
              </a:rPr>
              <a:t>A £38.000 deficit in 1700 became a £94.000 surplus in 1780</a:t>
            </a:r>
          </a:p>
        </c:rich>
      </c:tx>
      <c:layout>
        <c:manualLayout>
          <c:xMode val="edge"/>
          <c:yMode val="edge"/>
          <c:x val="0.01"/>
          <c:y val="1.4999999999999999E-2"/>
        </c:manualLayout>
      </c:layout>
      <c:overlay val="0"/>
    </c:title>
    <c:autoTitleDeleted val="0"/>
    <c:plotArea>
      <c:layout>
        <c:manualLayout>
          <c:xMode val="edge"/>
          <c:yMode val="edge"/>
          <c:x val="0.06"/>
          <c:y val="0.18"/>
          <c:w val="0.9"/>
          <c:h val="0.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Deviation!$E$8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990F3D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0F3D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7C-4AA0-A6AC-91EA21CCA8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27C-4AA0-A6AC-91EA21CCA82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27C-4AA0-A6AC-91EA21CCA82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27C-4AA0-A6AC-91EA21CCA82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27C-4AA0-A6AC-91EA21CCA82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27C-4AA0-A6AC-91EA21CCA82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527C-4AA0-A6AC-91EA21CCA82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527C-4AA0-A6AC-91EA21CCA82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527C-4AA0-A6AC-91EA21CCA82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527C-4AA0-A6AC-91EA21CCA82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527C-4AA0-A6AC-91EA21CCA82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527C-4AA0-A6AC-91EA21CCA829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527C-4AA0-A6AC-91EA21CCA829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527C-4AA0-A6AC-91EA21CCA82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527C-4AA0-A6AC-91EA21CCA82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527C-4AA0-A6AC-91EA21CCA82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527C-4AA0-A6AC-91EA21CCA82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527C-4AA0-A6AC-91EA21CCA829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527C-4AA0-A6AC-91EA21CCA82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527C-4AA0-A6AC-91EA21CCA82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527C-4AA0-A6AC-91EA21CCA829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527C-4AA0-A6AC-91EA21CCA829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527C-4AA0-A6AC-91EA21CCA829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527C-4AA0-A6AC-91EA21CCA829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527C-4AA0-A6AC-91EA21CCA829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527C-4AA0-A6AC-91EA21CCA829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527C-4AA0-A6AC-91EA21CCA829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527C-4AA0-A6AC-91EA21CCA829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9-527C-4AA0-A6AC-91EA21CCA829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527C-4AA0-A6AC-91EA21CCA829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527C-4AA0-A6AC-91EA21CCA829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527C-4AA0-A6AC-91EA21CCA829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527C-4AA0-A6AC-91EA21CCA829}"/>
              </c:ext>
            </c:extLst>
          </c:dPt>
          <c:dPt>
            <c:idx val="3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527C-4AA0-A6AC-91EA21CCA829}"/>
              </c:ext>
            </c:extLst>
          </c:dPt>
          <c:dPt>
            <c:idx val="3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5-527C-4AA0-A6AC-91EA21CCA829}"/>
              </c:ext>
            </c:extLst>
          </c:dPt>
          <c:dPt>
            <c:idx val="3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7-527C-4AA0-A6AC-91EA21CCA829}"/>
              </c:ext>
            </c:extLst>
          </c:dPt>
          <c:dPt>
            <c:idx val="3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9-527C-4AA0-A6AC-91EA21CCA829}"/>
              </c:ext>
            </c:extLst>
          </c:dPt>
          <c:dPt>
            <c:idx val="3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B-527C-4AA0-A6AC-91EA21CCA829}"/>
              </c:ext>
            </c:extLst>
          </c:dPt>
          <c:dPt>
            <c:idx val="3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D-527C-4AA0-A6AC-91EA21CCA829}"/>
              </c:ext>
            </c:extLst>
          </c:dPt>
          <c:dPt>
            <c:idx val="3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F-527C-4AA0-A6AC-91EA21CCA829}"/>
              </c:ext>
            </c:extLst>
          </c:dPt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1-527C-4AA0-A6AC-91EA21CCA829}"/>
              </c:ext>
            </c:extLst>
          </c:dPt>
          <c:dPt>
            <c:idx val="4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3-527C-4AA0-A6AC-91EA21CCA829}"/>
              </c:ext>
            </c:extLst>
          </c:dPt>
          <c:dPt>
            <c:idx val="4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5-527C-4AA0-A6AC-91EA21CCA829}"/>
              </c:ext>
            </c:extLst>
          </c:dPt>
          <c:dPt>
            <c:idx val="4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7-527C-4AA0-A6AC-91EA21CCA829}"/>
              </c:ext>
            </c:extLst>
          </c:dPt>
          <c:dPt>
            <c:idx val="4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9-527C-4AA0-A6AC-91EA21CCA829}"/>
              </c:ext>
            </c:extLst>
          </c:dPt>
          <c:dPt>
            <c:idx val="4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B-527C-4AA0-A6AC-91EA21CCA829}"/>
              </c:ext>
            </c:extLst>
          </c:dPt>
          <c:dPt>
            <c:idx val="4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D-527C-4AA0-A6AC-91EA21CCA829}"/>
              </c:ext>
            </c:extLst>
          </c:dPt>
          <c:dPt>
            <c:idx val="4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F-527C-4AA0-A6AC-91EA21CCA829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1-527C-4AA0-A6AC-91EA21CCA829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3-527C-4AA0-A6AC-91EA21CCA829}"/>
              </c:ext>
            </c:extLst>
          </c:dPt>
          <c:dPt>
            <c:idx val="5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5-527C-4AA0-A6AC-91EA21CCA829}"/>
              </c:ext>
            </c:extLst>
          </c:dPt>
          <c:dPt>
            <c:idx val="5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7-527C-4AA0-A6AC-91EA21CCA829}"/>
              </c:ext>
            </c:extLst>
          </c:dPt>
          <c:dPt>
            <c:idx val="5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9-527C-4AA0-A6AC-91EA21CCA829}"/>
              </c:ext>
            </c:extLst>
          </c:dPt>
          <c:dPt>
            <c:idx val="5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B-527C-4AA0-A6AC-91EA21CCA829}"/>
              </c:ext>
            </c:extLst>
          </c:dPt>
          <c:dPt>
            <c:idx val="5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D-527C-4AA0-A6AC-91EA21CCA829}"/>
              </c:ext>
            </c:extLst>
          </c:dPt>
          <c:dPt>
            <c:idx val="55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527C-4AA0-A6AC-91EA21CCA829}"/>
              </c:ext>
            </c:extLst>
          </c:dPt>
          <c:dPt>
            <c:idx val="56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527C-4AA0-A6AC-91EA21CCA829}"/>
              </c:ext>
            </c:extLst>
          </c:dPt>
          <c:dPt>
            <c:idx val="57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527C-4AA0-A6AC-91EA21CCA829}"/>
              </c:ext>
            </c:extLst>
          </c:dPt>
          <c:dPt>
            <c:idx val="58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527C-4AA0-A6AC-91EA21CCA829}"/>
              </c:ext>
            </c:extLst>
          </c:dPt>
          <c:dPt>
            <c:idx val="59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527C-4AA0-A6AC-91EA21CCA829}"/>
              </c:ext>
            </c:extLst>
          </c:dPt>
          <c:dPt>
            <c:idx val="60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527C-4AA0-A6AC-91EA21CCA829}"/>
              </c:ext>
            </c:extLst>
          </c:dPt>
          <c:dPt>
            <c:idx val="61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527C-4AA0-A6AC-91EA21CCA829}"/>
              </c:ext>
            </c:extLst>
          </c:dPt>
          <c:dPt>
            <c:idx val="62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527C-4AA0-A6AC-91EA21CCA829}"/>
              </c:ext>
            </c:extLst>
          </c:dPt>
          <c:dPt>
            <c:idx val="63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527C-4AA0-A6AC-91EA21CCA829}"/>
              </c:ext>
            </c:extLst>
          </c:dPt>
          <c:dPt>
            <c:idx val="64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527C-4AA0-A6AC-91EA21CCA829}"/>
              </c:ext>
            </c:extLst>
          </c:dPt>
          <c:dPt>
            <c:idx val="65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527C-4AA0-A6AC-91EA21CCA829}"/>
              </c:ext>
            </c:extLst>
          </c:dPt>
          <c:dPt>
            <c:idx val="66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527C-4AA0-A6AC-91EA21CCA829}"/>
              </c:ext>
            </c:extLst>
          </c:dPt>
          <c:dPt>
            <c:idx val="67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527C-4AA0-A6AC-91EA21CCA829}"/>
              </c:ext>
            </c:extLst>
          </c:dPt>
          <c:dPt>
            <c:idx val="68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527C-4AA0-A6AC-91EA21CCA829}"/>
              </c:ext>
            </c:extLst>
          </c:dPt>
          <c:dPt>
            <c:idx val="69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527C-4AA0-A6AC-91EA21CCA829}"/>
              </c:ext>
            </c:extLst>
          </c:dPt>
          <c:dPt>
            <c:idx val="70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527C-4AA0-A6AC-91EA21CCA829}"/>
              </c:ext>
            </c:extLst>
          </c:dPt>
          <c:dPt>
            <c:idx val="71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527C-4AA0-A6AC-91EA21CCA829}"/>
              </c:ext>
            </c:extLst>
          </c:dPt>
          <c:dPt>
            <c:idx val="72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527C-4AA0-A6AC-91EA21CCA829}"/>
              </c:ext>
            </c:extLst>
          </c:dPt>
          <c:dPt>
            <c:idx val="73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527C-4AA0-A6AC-91EA21CCA829}"/>
              </c:ext>
            </c:extLst>
          </c:dPt>
          <c:dPt>
            <c:idx val="74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527C-4AA0-A6AC-91EA21CCA829}"/>
              </c:ext>
            </c:extLst>
          </c:dPt>
          <c:dPt>
            <c:idx val="75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527C-4AA0-A6AC-91EA21CCA829}"/>
              </c:ext>
            </c:extLst>
          </c:dPt>
          <c:dPt>
            <c:idx val="76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527C-4AA0-A6AC-91EA21CCA829}"/>
              </c:ext>
            </c:extLst>
          </c:dPt>
          <c:dPt>
            <c:idx val="77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527C-4AA0-A6AC-91EA21CCA829}"/>
              </c:ext>
            </c:extLst>
          </c:dPt>
          <c:dPt>
            <c:idx val="78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527C-4AA0-A6AC-91EA21CCA829}"/>
              </c:ext>
            </c:extLst>
          </c:dPt>
          <c:dPt>
            <c:idx val="79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527C-4AA0-A6AC-91EA21CCA829}"/>
              </c:ext>
            </c:extLst>
          </c:dPt>
          <c:dPt>
            <c:idx val="80"/>
            <c:invertIfNegative val="0"/>
            <c:bubble3D val="0"/>
            <c:spPr>
              <a:solidFill>
                <a:srgbClr val="0D76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527C-4AA0-A6AC-91EA21CCA829}"/>
              </c:ext>
            </c:extLst>
          </c:dPt>
          <c:dLbls>
            <c:dLbl>
              <c:idx val="0"/>
              <c:numFmt formatCode="\+#,##0;&quot;−&quot;#,##0;0" sourceLinked="0"/>
              <c:spPr/>
              <c:txPr>
                <a:bodyPr/>
                <a:lstStyle/>
                <a:p>
                  <a:pPr>
                    <a:defRPr sz="1100" b="1" i="0">
                      <a:solidFill>
                        <a:srgbClr val="990F3D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7C-4AA0-A6AC-91EA21CCA829}"/>
                </c:ext>
              </c:extLst>
            </c:dLbl>
            <c:dLbl>
              <c:idx val="55"/>
              <c:numFmt formatCode="\+#,##0;&quot;−&quot;#,##0;0" sourceLinked="0"/>
              <c:spPr/>
              <c:txPr>
                <a:bodyPr/>
                <a:lstStyle/>
                <a:p>
                  <a:pPr>
                    <a:defRPr sz="1100" b="1" i="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527C-4AA0-A6AC-91EA21CCA829}"/>
                </c:ext>
              </c:extLst>
            </c:dLbl>
            <c:dLbl>
              <c:idx val="80"/>
              <c:numFmt formatCode="\+#,##0;&quot;−&quot;#,##0;0" sourceLinked="0"/>
              <c:spPr/>
              <c:txPr>
                <a:bodyPr/>
                <a:lstStyle/>
                <a:p>
                  <a:pPr>
                    <a:defRPr sz="1100" b="1" i="0">
                      <a:solidFill>
                        <a:srgbClr val="0D7680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527C-4AA0-A6AC-91EA21CCA82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Deviation!$B$9:$B$89</c:f>
              <c:numCache>
                <c:formatCode>General</c:formatCode>
                <c:ptCount val="81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</c:numCache>
            </c:numRef>
          </c:cat>
          <c:val>
            <c:numRef>
              <c:f>Deviation!$E$9:$E$89</c:f>
              <c:numCache>
                <c:formatCode>#,##0.0</c:formatCode>
                <c:ptCount val="81"/>
                <c:pt idx="0">
                  <c:v>-38.400000000000006</c:v>
                </c:pt>
                <c:pt idx="1">
                  <c:v>-36.799999999999997</c:v>
                </c:pt>
                <c:pt idx="2">
                  <c:v>-34.900000000000006</c:v>
                </c:pt>
                <c:pt idx="3">
                  <c:v>-34.499999999999993</c:v>
                </c:pt>
                <c:pt idx="4">
                  <c:v>-34.300000000000004</c:v>
                </c:pt>
                <c:pt idx="5">
                  <c:v>-34.599999999999994</c:v>
                </c:pt>
                <c:pt idx="6">
                  <c:v>-33.5</c:v>
                </c:pt>
                <c:pt idx="7">
                  <c:v>-31.699999999999996</c:v>
                </c:pt>
                <c:pt idx="8">
                  <c:v>-29.399999999999991</c:v>
                </c:pt>
                <c:pt idx="9">
                  <c:v>-26.899999999999991</c:v>
                </c:pt>
                <c:pt idx="10">
                  <c:v>-23.700000000000003</c:v>
                </c:pt>
                <c:pt idx="11">
                  <c:v>-20</c:v>
                </c:pt>
                <c:pt idx="12">
                  <c:v>-15.799999999999997</c:v>
                </c:pt>
                <c:pt idx="13">
                  <c:v>-13.200000000000003</c:v>
                </c:pt>
                <c:pt idx="14">
                  <c:v>-11.399999999999991</c:v>
                </c:pt>
                <c:pt idx="15">
                  <c:v>-10.299999999999997</c:v>
                </c:pt>
                <c:pt idx="16">
                  <c:v>-10.599999999999994</c:v>
                </c:pt>
                <c:pt idx="17">
                  <c:v>-12</c:v>
                </c:pt>
                <c:pt idx="18">
                  <c:v>-14.599999999999994</c:v>
                </c:pt>
                <c:pt idx="19">
                  <c:v>-17.900000000000006</c:v>
                </c:pt>
                <c:pt idx="20">
                  <c:v>-21.200000000000003</c:v>
                </c:pt>
                <c:pt idx="21">
                  <c:v>-24</c:v>
                </c:pt>
                <c:pt idx="22">
                  <c:v>-26.100000000000009</c:v>
                </c:pt>
                <c:pt idx="23">
                  <c:v>-28</c:v>
                </c:pt>
                <c:pt idx="24">
                  <c:v>-29</c:v>
                </c:pt>
                <c:pt idx="25">
                  <c:v>-28.900000000000006</c:v>
                </c:pt>
                <c:pt idx="26">
                  <c:v>-30.700000000000003</c:v>
                </c:pt>
                <c:pt idx="27">
                  <c:v>-31.300000000000011</c:v>
                </c:pt>
                <c:pt idx="28">
                  <c:v>-32.099999999999994</c:v>
                </c:pt>
                <c:pt idx="29">
                  <c:v>-32.699999999999989</c:v>
                </c:pt>
                <c:pt idx="30">
                  <c:v>-32.799999999999997</c:v>
                </c:pt>
                <c:pt idx="31">
                  <c:v>-33.200000000000003</c:v>
                </c:pt>
                <c:pt idx="32">
                  <c:v>-32.800000000000004</c:v>
                </c:pt>
                <c:pt idx="33">
                  <c:v>-32.799999999999997</c:v>
                </c:pt>
                <c:pt idx="34">
                  <c:v>-32.6</c:v>
                </c:pt>
                <c:pt idx="35">
                  <c:v>-32.000000000000007</c:v>
                </c:pt>
                <c:pt idx="36">
                  <c:v>-32.299999999999997</c:v>
                </c:pt>
                <c:pt idx="37">
                  <c:v>-31.5</c:v>
                </c:pt>
                <c:pt idx="38">
                  <c:v>-30.400000000000006</c:v>
                </c:pt>
                <c:pt idx="39">
                  <c:v>-29.200000000000003</c:v>
                </c:pt>
                <c:pt idx="40">
                  <c:v>-27.5</c:v>
                </c:pt>
                <c:pt idx="41">
                  <c:v>-25.700000000000003</c:v>
                </c:pt>
                <c:pt idx="42">
                  <c:v>-23.700000000000003</c:v>
                </c:pt>
                <c:pt idx="43">
                  <c:v>-21</c:v>
                </c:pt>
                <c:pt idx="44">
                  <c:v>-19.399999999999991</c:v>
                </c:pt>
                <c:pt idx="45">
                  <c:v>-18.299999999999997</c:v>
                </c:pt>
                <c:pt idx="46">
                  <c:v>-17</c:v>
                </c:pt>
                <c:pt idx="47">
                  <c:v>-16.599999999999994</c:v>
                </c:pt>
                <c:pt idx="48">
                  <c:v>-15.799999999999997</c:v>
                </c:pt>
                <c:pt idx="49">
                  <c:v>-14.299999999999997</c:v>
                </c:pt>
                <c:pt idx="50">
                  <c:v>-12.700000000000003</c:v>
                </c:pt>
                <c:pt idx="51">
                  <c:v>-10.799999999999997</c:v>
                </c:pt>
                <c:pt idx="52">
                  <c:v>-7.8000000000000114</c:v>
                </c:pt>
                <c:pt idx="53">
                  <c:v>-4.0999999999999943</c:v>
                </c:pt>
                <c:pt idx="54">
                  <c:v>-1.6000000000000085</c:v>
                </c:pt>
                <c:pt idx="55">
                  <c:v>4.2000000000000028</c:v>
                </c:pt>
                <c:pt idx="56">
                  <c:v>8.3999999999999915</c:v>
                </c:pt>
                <c:pt idx="57">
                  <c:v>14.099999999999994</c:v>
                </c:pt>
                <c:pt idx="58">
                  <c:v>20.400000000000006</c:v>
                </c:pt>
                <c:pt idx="59">
                  <c:v>28</c:v>
                </c:pt>
                <c:pt idx="60">
                  <c:v>41.899999999999991</c:v>
                </c:pt>
                <c:pt idx="61">
                  <c:v>50.300000000000011</c:v>
                </c:pt>
                <c:pt idx="62">
                  <c:v>57.599999999999994</c:v>
                </c:pt>
                <c:pt idx="63">
                  <c:v>64.399999999999991</c:v>
                </c:pt>
                <c:pt idx="64">
                  <c:v>67.8</c:v>
                </c:pt>
                <c:pt idx="65">
                  <c:v>71.399999999999991</c:v>
                </c:pt>
                <c:pt idx="66">
                  <c:v>72.600000000000009</c:v>
                </c:pt>
                <c:pt idx="67">
                  <c:v>74.8</c:v>
                </c:pt>
                <c:pt idx="68">
                  <c:v>77.300000000000011</c:v>
                </c:pt>
                <c:pt idx="69">
                  <c:v>79.199999999999989</c:v>
                </c:pt>
                <c:pt idx="70">
                  <c:v>80.199999999999989</c:v>
                </c:pt>
                <c:pt idx="71">
                  <c:v>80.699999999999989</c:v>
                </c:pt>
                <c:pt idx="72">
                  <c:v>81.899999999999991</c:v>
                </c:pt>
                <c:pt idx="73">
                  <c:v>83.5</c:v>
                </c:pt>
                <c:pt idx="74">
                  <c:v>85.200000000000017</c:v>
                </c:pt>
                <c:pt idx="75">
                  <c:v>87.300000000000011</c:v>
                </c:pt>
                <c:pt idx="76">
                  <c:v>89.9</c:v>
                </c:pt>
                <c:pt idx="77">
                  <c:v>91.4</c:v>
                </c:pt>
                <c:pt idx="78">
                  <c:v>92.800000000000011</c:v>
                </c:pt>
                <c:pt idx="79">
                  <c:v>93.7</c:v>
                </c:pt>
                <c:pt idx="80">
                  <c:v>93.999999999999986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527C-4AA0-A6AC-91EA21CC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595959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8E8E8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l">
                  <a:defRPr sz="1100" b="0">
                    <a:solidFill>
                      <a:srgbClr val="595959"/>
                    </a:solidFill>
                  </a:defRPr>
                </a:pPr>
                <a:r>
                  <a:rPr sz="1100" b="0">
                    <a:solidFill>
                      <a:srgbClr val="595959"/>
                    </a:solidFill>
                  </a:rPr>
                  <a:t>Balance, GBP '000</a:t>
                </a:r>
              </a:p>
            </c:rich>
          </c:tx>
          <c:layout>
            <c:manualLayout>
              <c:xMode val="edge"/>
              <c:yMode val="edge"/>
              <c:x val="5.0000000000000001E-3"/>
              <c:y val="0.105"/>
              <c:w val="0.45"/>
              <c:h val="0.06"/>
            </c:manualLayout>
          </c:layout>
          <c:overlay val="0"/>
        </c:title>
        <c:numFmt formatCode="#,##0;&quot;−&quot;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595959"/>
                </a:solidFill>
              </a:defRPr>
            </a:pPr>
            <a:endParaRPr lang="en-US"/>
          </a:p>
        </c:txPr>
        <c:crossAx val="10"/>
        <c:crosses val="autoZero"/>
        <c:crossBetween val="between"/>
        <c:majorUnit val="50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8640000" cy="55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371475</xdr:colOff>
      <xdr:row>27</xdr:row>
      <xdr:rowOff>57150</xdr:rowOff>
    </xdr:from>
    <xdr:ext cx="5305683" cy="2839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7A6435-89C8-CFB9-F876-6735FCA35A27}"/>
            </a:ext>
          </a:extLst>
        </xdr:cNvPr>
        <xdr:cNvSpPr txBox="1"/>
      </xdr:nvSpPr>
      <xdr:spPr>
        <a:xfrm>
          <a:off x="7877175" y="5429250"/>
          <a:ext cx="5305683" cy="2839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300" i="1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Bottom line is divided into Years, the Right hand line into L10,000 each.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0.44708</cdr:x>
      <cdr:y>0.41806</cdr:y>
    </cdr:from>
    <cdr:to>
      <cdr:x>0.55292</cdr:x>
      <cdr:y>0.58194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0F76F6-0702-1DED-8E67-9ED7A587356B}"/>
            </a:ext>
          </a:extLst>
        </cdr:cNvPr>
        <cdr:cNvSpPr txBox="1"/>
      </cdr:nvSpPr>
      <cdr:spPr>
        <a:xfrm xmlns:a="http://schemas.openxmlformats.org/drawingml/2006/main">
          <a:off x="3862800" y="23328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0.44708</cdr:x>
      <cdr:y>0.41806</cdr:y>
    </cdr:from>
    <cdr:to>
      <cdr:x>0.55292</cdr:x>
      <cdr:y>0.58194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A9A8DE9-22DD-AB61-23F8-CE6805E6D6F8}"/>
            </a:ext>
          </a:extLst>
        </cdr:cNvPr>
        <cdr:cNvSpPr txBox="1"/>
      </cdr:nvSpPr>
      <cdr:spPr>
        <a:xfrm xmlns:a="http://schemas.openxmlformats.org/drawingml/2006/main">
          <a:off x="3862800" y="23328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0.75186</cdr:x>
      <cdr:y>0.37212</cdr:y>
    </cdr:from>
    <cdr:to>
      <cdr:x>0.85769</cdr:x>
      <cdr:y>0.4404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7369FE6-2915-0337-FE59-881A8889D478}"/>
            </a:ext>
          </a:extLst>
        </cdr:cNvPr>
        <cdr:cNvSpPr txBox="1"/>
      </cdr:nvSpPr>
      <cdr:spPr>
        <a:xfrm xmlns:a="http://schemas.openxmlformats.org/drawingml/2006/main">
          <a:off x="6496050" y="2076450"/>
          <a:ext cx="9144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400" b="1" i="1" u="none" kern="1200">
              <a:latin typeface="Times New Roman" panose="02020603050405020304" pitchFamily="18" charset="0"/>
              <a:cs typeface="Times New Roman" panose="02020603050405020304" pitchFamily="18" charset="0"/>
            </a:rPr>
            <a:t>ENGLAND.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9"/>
  <sheetViews>
    <sheetView showGridLines="0" tabSelected="1" workbookViewId="0">
      <selection activeCell="AB24" sqref="AB24"/>
    </sheetView>
  </sheetViews>
  <sheetFormatPr defaultRowHeight="15" x14ac:dyDescent="0.25"/>
  <cols>
    <col min="2" max="5" width="11" customWidth="1"/>
    <col min="6" max="6" width="21" customWidth="1"/>
    <col min="7" max="7" width="11" customWidth="1"/>
  </cols>
  <sheetData>
    <row r="2" spans="2:8" ht="21" x14ac:dyDescent="0.35">
      <c r="B2" s="1" t="s">
        <v>0</v>
      </c>
    </row>
    <row r="3" spans="2:8" x14ac:dyDescent="0.25">
      <c r="B3" s="2" t="s">
        <v>1</v>
      </c>
    </row>
    <row r="5" spans="2:8" x14ac:dyDescent="0.25">
      <c r="B5" s="3" t="s">
        <v>2</v>
      </c>
    </row>
    <row r="6" spans="2:8" x14ac:dyDescent="0.25">
      <c r="B6" s="4" t="s">
        <v>3</v>
      </c>
    </row>
    <row r="8" spans="2:8" ht="27" x14ac:dyDescent="0.25">
      <c r="B8" s="5" t="s">
        <v>4</v>
      </c>
      <c r="C8" s="6" t="s">
        <v>5</v>
      </c>
      <c r="D8" s="6" t="s">
        <v>6</v>
      </c>
      <c r="E8" s="6" t="s">
        <v>7</v>
      </c>
      <c r="F8" s="13" t="s">
        <v>24</v>
      </c>
      <c r="G8" s="13" t="s">
        <v>25</v>
      </c>
      <c r="H8" s="6" t="s">
        <v>8</v>
      </c>
    </row>
    <row r="9" spans="2:8" x14ac:dyDescent="0.25">
      <c r="B9" s="7">
        <f>Data_Trade!B9</f>
        <v>1700</v>
      </c>
      <c r="C9" s="8">
        <f>Data_Trade!C9</f>
        <v>71.900000000000006</v>
      </c>
      <c r="D9" s="8">
        <f>Data_Trade!D9</f>
        <v>33.5</v>
      </c>
      <c r="E9" s="8">
        <f t="shared" ref="E9:E40" si="0">MIN(C9,D9)</f>
        <v>33.5</v>
      </c>
      <c r="F9" s="8">
        <f t="shared" ref="F9:F40" si="1">MAX(C9-D9,0)</f>
        <v>38.400000000000006</v>
      </c>
      <c r="G9" s="8">
        <f t="shared" ref="G9:G40" si="2">MAX(D9-C9,0)</f>
        <v>0</v>
      </c>
      <c r="H9" s="8">
        <f>100</f>
        <v>100</v>
      </c>
    </row>
    <row r="10" spans="2:8" x14ac:dyDescent="0.25">
      <c r="B10" s="7">
        <f>Data_Trade!B10</f>
        <v>1701</v>
      </c>
      <c r="C10" s="8">
        <f>Data_Trade!C10</f>
        <v>72.099999999999994</v>
      </c>
      <c r="D10" s="8">
        <f>Data_Trade!D10</f>
        <v>35.299999999999997</v>
      </c>
      <c r="E10" s="8">
        <f t="shared" si="0"/>
        <v>35.299999999999997</v>
      </c>
      <c r="F10" s="8">
        <f t="shared" si="1"/>
        <v>36.799999999999997</v>
      </c>
      <c r="G10" s="8">
        <f t="shared" si="2"/>
        <v>0</v>
      </c>
      <c r="H10" s="8">
        <f>100</f>
        <v>100</v>
      </c>
    </row>
    <row r="11" spans="2:8" x14ac:dyDescent="0.25">
      <c r="B11" s="7">
        <f>Data_Trade!B11</f>
        <v>1702</v>
      </c>
      <c r="C11" s="8">
        <f>Data_Trade!C11</f>
        <v>72.7</v>
      </c>
      <c r="D11" s="8">
        <f>Data_Trade!D11</f>
        <v>37.799999999999997</v>
      </c>
      <c r="E11" s="8">
        <f t="shared" si="0"/>
        <v>37.799999999999997</v>
      </c>
      <c r="F11" s="8">
        <f t="shared" si="1"/>
        <v>34.900000000000006</v>
      </c>
      <c r="G11" s="8">
        <f t="shared" si="2"/>
        <v>0</v>
      </c>
      <c r="H11" s="8">
        <f>100</f>
        <v>100</v>
      </c>
    </row>
    <row r="12" spans="2:8" x14ac:dyDescent="0.25">
      <c r="B12" s="7">
        <f>Data_Trade!B12</f>
        <v>1703</v>
      </c>
      <c r="C12" s="8">
        <f>Data_Trade!C12</f>
        <v>74.099999999999994</v>
      </c>
      <c r="D12" s="8">
        <f>Data_Trade!D12</f>
        <v>39.6</v>
      </c>
      <c r="E12" s="8">
        <f t="shared" si="0"/>
        <v>39.6</v>
      </c>
      <c r="F12" s="8">
        <f t="shared" si="1"/>
        <v>34.499999999999993</v>
      </c>
      <c r="G12" s="8">
        <f t="shared" si="2"/>
        <v>0</v>
      </c>
      <c r="H12" s="8">
        <f>100</f>
        <v>100</v>
      </c>
    </row>
    <row r="13" spans="2:8" x14ac:dyDescent="0.25">
      <c r="B13" s="7">
        <f>Data_Trade!B13</f>
        <v>1704</v>
      </c>
      <c r="C13" s="8">
        <f>Data_Trade!C13</f>
        <v>75.2</v>
      </c>
      <c r="D13" s="8">
        <f>Data_Trade!D13</f>
        <v>40.9</v>
      </c>
      <c r="E13" s="8">
        <f t="shared" si="0"/>
        <v>40.9</v>
      </c>
      <c r="F13" s="8">
        <f t="shared" si="1"/>
        <v>34.300000000000004</v>
      </c>
      <c r="G13" s="8">
        <f t="shared" si="2"/>
        <v>0</v>
      </c>
      <c r="H13" s="8">
        <f>100</f>
        <v>100</v>
      </c>
    </row>
    <row r="14" spans="2:8" x14ac:dyDescent="0.25">
      <c r="B14" s="7">
        <f>Data_Trade!B14</f>
        <v>1705</v>
      </c>
      <c r="C14" s="8">
        <f>Data_Trade!C14</f>
        <v>76.099999999999994</v>
      </c>
      <c r="D14" s="8">
        <f>Data_Trade!D14</f>
        <v>41.5</v>
      </c>
      <c r="E14" s="8">
        <f t="shared" si="0"/>
        <v>41.5</v>
      </c>
      <c r="F14" s="8">
        <f t="shared" si="1"/>
        <v>34.599999999999994</v>
      </c>
      <c r="G14" s="8">
        <f t="shared" si="2"/>
        <v>0</v>
      </c>
      <c r="H14" s="8">
        <f>100</f>
        <v>100</v>
      </c>
    </row>
    <row r="15" spans="2:8" x14ac:dyDescent="0.25">
      <c r="B15" s="7">
        <f>Data_Trade!B15</f>
        <v>1706</v>
      </c>
      <c r="C15" s="8">
        <f>Data_Trade!C15</f>
        <v>77</v>
      </c>
      <c r="D15" s="8">
        <f>Data_Trade!D15</f>
        <v>43.5</v>
      </c>
      <c r="E15" s="8">
        <f t="shared" si="0"/>
        <v>43.5</v>
      </c>
      <c r="F15" s="8">
        <f t="shared" si="1"/>
        <v>33.5</v>
      </c>
      <c r="G15" s="8">
        <f t="shared" si="2"/>
        <v>0</v>
      </c>
      <c r="H15" s="8">
        <f>100</f>
        <v>100</v>
      </c>
    </row>
    <row r="16" spans="2:8" x14ac:dyDescent="0.25">
      <c r="B16" s="7">
        <f>Data_Trade!B16</f>
        <v>1707</v>
      </c>
      <c r="C16" s="8">
        <f>Data_Trade!C16</f>
        <v>78.3</v>
      </c>
      <c r="D16" s="8">
        <f>Data_Trade!D16</f>
        <v>46.6</v>
      </c>
      <c r="E16" s="8">
        <f t="shared" si="0"/>
        <v>46.6</v>
      </c>
      <c r="F16" s="8">
        <f t="shared" si="1"/>
        <v>31.699999999999996</v>
      </c>
      <c r="G16" s="8">
        <f t="shared" si="2"/>
        <v>0</v>
      </c>
      <c r="H16" s="8">
        <f>100</f>
        <v>100</v>
      </c>
    </row>
    <row r="17" spans="2:8" x14ac:dyDescent="0.25">
      <c r="B17" s="7">
        <f>Data_Trade!B17</f>
        <v>1708</v>
      </c>
      <c r="C17" s="8">
        <f>Data_Trade!C17</f>
        <v>79.599999999999994</v>
      </c>
      <c r="D17" s="8">
        <f>Data_Trade!D17</f>
        <v>50.2</v>
      </c>
      <c r="E17" s="8">
        <f t="shared" si="0"/>
        <v>50.2</v>
      </c>
      <c r="F17" s="8">
        <f t="shared" si="1"/>
        <v>29.399999999999991</v>
      </c>
      <c r="G17" s="8">
        <f t="shared" si="2"/>
        <v>0</v>
      </c>
      <c r="H17" s="8">
        <f>100</f>
        <v>100</v>
      </c>
    </row>
    <row r="18" spans="2:8" x14ac:dyDescent="0.25">
      <c r="B18" s="7">
        <f>Data_Trade!B18</f>
        <v>1709</v>
      </c>
      <c r="C18" s="8">
        <f>Data_Trade!C18</f>
        <v>81.599999999999994</v>
      </c>
      <c r="D18" s="8">
        <f>Data_Trade!D18</f>
        <v>54.7</v>
      </c>
      <c r="E18" s="8">
        <f t="shared" si="0"/>
        <v>54.7</v>
      </c>
      <c r="F18" s="8">
        <f t="shared" si="1"/>
        <v>26.899999999999991</v>
      </c>
      <c r="G18" s="8">
        <f t="shared" si="2"/>
        <v>0</v>
      </c>
      <c r="H18" s="8">
        <f>100</f>
        <v>100</v>
      </c>
    </row>
    <row r="19" spans="2:8" x14ac:dyDescent="0.25">
      <c r="B19" s="7">
        <f>Data_Trade!B19</f>
        <v>1710</v>
      </c>
      <c r="C19" s="8">
        <f>Data_Trade!C19</f>
        <v>82.9</v>
      </c>
      <c r="D19" s="8">
        <f>Data_Trade!D19</f>
        <v>59.2</v>
      </c>
      <c r="E19" s="8">
        <f t="shared" si="0"/>
        <v>59.2</v>
      </c>
      <c r="F19" s="8">
        <f t="shared" si="1"/>
        <v>23.700000000000003</v>
      </c>
      <c r="G19" s="8">
        <f t="shared" si="2"/>
        <v>0</v>
      </c>
      <c r="H19" s="8">
        <f>100</f>
        <v>100</v>
      </c>
    </row>
    <row r="20" spans="2:8" x14ac:dyDescent="0.25">
      <c r="B20" s="7">
        <f>Data_Trade!B20</f>
        <v>1711</v>
      </c>
      <c r="C20" s="8">
        <f>Data_Trade!C20</f>
        <v>84</v>
      </c>
      <c r="D20" s="8">
        <f>Data_Trade!D20</f>
        <v>64</v>
      </c>
      <c r="E20" s="8">
        <f t="shared" si="0"/>
        <v>64</v>
      </c>
      <c r="F20" s="8">
        <f t="shared" si="1"/>
        <v>20</v>
      </c>
      <c r="G20" s="8">
        <f t="shared" si="2"/>
        <v>0</v>
      </c>
      <c r="H20" s="8">
        <f>100</f>
        <v>100</v>
      </c>
    </row>
    <row r="21" spans="2:8" x14ac:dyDescent="0.25">
      <c r="B21" s="7">
        <f>Data_Trade!B21</f>
        <v>1712</v>
      </c>
      <c r="C21" s="8">
        <f>Data_Trade!C21</f>
        <v>85</v>
      </c>
      <c r="D21" s="8">
        <f>Data_Trade!D21</f>
        <v>69.2</v>
      </c>
      <c r="E21" s="8">
        <f t="shared" si="0"/>
        <v>69.2</v>
      </c>
      <c r="F21" s="8">
        <f t="shared" si="1"/>
        <v>15.799999999999997</v>
      </c>
      <c r="G21" s="8">
        <f t="shared" si="2"/>
        <v>0</v>
      </c>
      <c r="H21" s="8">
        <f>100</f>
        <v>100</v>
      </c>
    </row>
    <row r="22" spans="2:8" x14ac:dyDescent="0.25">
      <c r="B22" s="7">
        <f>Data_Trade!B22</f>
        <v>1713</v>
      </c>
      <c r="C22" s="8">
        <f>Data_Trade!C22</f>
        <v>85.9</v>
      </c>
      <c r="D22" s="8">
        <f>Data_Trade!D22</f>
        <v>72.7</v>
      </c>
      <c r="E22" s="8">
        <f t="shared" si="0"/>
        <v>72.7</v>
      </c>
      <c r="F22" s="8">
        <f t="shared" si="1"/>
        <v>13.200000000000003</v>
      </c>
      <c r="G22" s="8">
        <f t="shared" si="2"/>
        <v>0</v>
      </c>
      <c r="H22" s="8">
        <f>100</f>
        <v>100</v>
      </c>
    </row>
    <row r="23" spans="2:8" x14ac:dyDescent="0.25">
      <c r="B23" s="7">
        <f>Data_Trade!B23</f>
        <v>1714</v>
      </c>
      <c r="C23" s="8">
        <f>Data_Trade!C23</f>
        <v>87.1</v>
      </c>
      <c r="D23" s="8">
        <f>Data_Trade!D23</f>
        <v>75.7</v>
      </c>
      <c r="E23" s="8">
        <f t="shared" si="0"/>
        <v>75.7</v>
      </c>
      <c r="F23" s="8">
        <f t="shared" si="1"/>
        <v>11.399999999999991</v>
      </c>
      <c r="G23" s="8">
        <f t="shared" si="2"/>
        <v>0</v>
      </c>
      <c r="H23" s="8">
        <f>100</f>
        <v>100</v>
      </c>
    </row>
    <row r="24" spans="2:8" x14ac:dyDescent="0.25">
      <c r="B24" s="7">
        <f>Data_Trade!B24</f>
        <v>1715</v>
      </c>
      <c r="C24" s="8">
        <f>Data_Trade!C24</f>
        <v>87.8</v>
      </c>
      <c r="D24" s="8">
        <f>Data_Trade!D24</f>
        <v>77.5</v>
      </c>
      <c r="E24" s="8">
        <f t="shared" si="0"/>
        <v>77.5</v>
      </c>
      <c r="F24" s="8">
        <f t="shared" si="1"/>
        <v>10.299999999999997</v>
      </c>
      <c r="G24" s="8">
        <f t="shared" si="2"/>
        <v>0</v>
      </c>
      <c r="H24" s="8">
        <f>100</f>
        <v>100</v>
      </c>
    </row>
    <row r="25" spans="2:8" x14ac:dyDescent="0.25">
      <c r="B25" s="7">
        <f>Data_Trade!B25</f>
        <v>1716</v>
      </c>
      <c r="C25" s="8">
        <f>Data_Trade!C25</f>
        <v>89</v>
      </c>
      <c r="D25" s="8">
        <f>Data_Trade!D25</f>
        <v>78.400000000000006</v>
      </c>
      <c r="E25" s="8">
        <f t="shared" si="0"/>
        <v>78.400000000000006</v>
      </c>
      <c r="F25" s="8">
        <f t="shared" si="1"/>
        <v>10.599999999999994</v>
      </c>
      <c r="G25" s="8">
        <f t="shared" si="2"/>
        <v>0</v>
      </c>
      <c r="H25" s="8">
        <f>100</f>
        <v>100</v>
      </c>
    </row>
    <row r="26" spans="2:8" x14ac:dyDescent="0.25">
      <c r="B26" s="7">
        <f>Data_Trade!B26</f>
        <v>1717</v>
      </c>
      <c r="C26" s="8">
        <f>Data_Trade!C26</f>
        <v>90.2</v>
      </c>
      <c r="D26" s="8">
        <f>Data_Trade!D26</f>
        <v>78.2</v>
      </c>
      <c r="E26" s="8">
        <f t="shared" si="0"/>
        <v>78.2</v>
      </c>
      <c r="F26" s="8">
        <f t="shared" si="1"/>
        <v>12</v>
      </c>
      <c r="G26" s="8">
        <f t="shared" si="2"/>
        <v>0</v>
      </c>
      <c r="H26" s="8">
        <f>100</f>
        <v>100</v>
      </c>
    </row>
    <row r="27" spans="2:8" x14ac:dyDescent="0.25">
      <c r="B27" s="7">
        <f>Data_Trade!B27</f>
        <v>1718</v>
      </c>
      <c r="C27" s="8">
        <f>Data_Trade!C27</f>
        <v>92.1</v>
      </c>
      <c r="D27" s="8">
        <f>Data_Trade!D27</f>
        <v>77.5</v>
      </c>
      <c r="E27" s="8">
        <f t="shared" si="0"/>
        <v>77.5</v>
      </c>
      <c r="F27" s="8">
        <f t="shared" si="1"/>
        <v>14.599999999999994</v>
      </c>
      <c r="G27" s="8">
        <f t="shared" si="2"/>
        <v>0</v>
      </c>
      <c r="H27" s="8">
        <f>100</f>
        <v>100</v>
      </c>
    </row>
    <row r="28" spans="2:8" x14ac:dyDescent="0.25">
      <c r="B28" s="7">
        <f>Data_Trade!B28</f>
        <v>1719</v>
      </c>
      <c r="C28" s="8">
        <f>Data_Trade!C28</f>
        <v>95</v>
      </c>
      <c r="D28" s="8">
        <f>Data_Trade!D28</f>
        <v>77.099999999999994</v>
      </c>
      <c r="E28" s="8">
        <f t="shared" si="0"/>
        <v>77.099999999999994</v>
      </c>
      <c r="F28" s="8">
        <f t="shared" si="1"/>
        <v>17.900000000000006</v>
      </c>
      <c r="G28" s="8">
        <f t="shared" si="2"/>
        <v>0</v>
      </c>
      <c r="H28" s="8">
        <f>100</f>
        <v>100</v>
      </c>
    </row>
    <row r="29" spans="2:8" x14ac:dyDescent="0.25">
      <c r="B29" s="7">
        <f>Data_Trade!B29</f>
        <v>1720</v>
      </c>
      <c r="C29" s="8">
        <f>Data_Trade!C29</f>
        <v>97.9</v>
      </c>
      <c r="D29" s="8">
        <f>Data_Trade!D29</f>
        <v>76.7</v>
      </c>
      <c r="E29" s="8">
        <f t="shared" si="0"/>
        <v>76.7</v>
      </c>
      <c r="F29" s="8">
        <f t="shared" si="1"/>
        <v>21.200000000000003</v>
      </c>
      <c r="G29" s="8">
        <f t="shared" si="2"/>
        <v>0</v>
      </c>
      <c r="H29" s="8">
        <f>100</f>
        <v>100</v>
      </c>
    </row>
    <row r="30" spans="2:8" x14ac:dyDescent="0.25">
      <c r="B30" s="7">
        <f>Data_Trade!B30</f>
        <v>1721</v>
      </c>
      <c r="C30" s="8">
        <f>Data_Trade!C30</f>
        <v>100</v>
      </c>
      <c r="D30" s="8">
        <f>Data_Trade!D30</f>
        <v>76</v>
      </c>
      <c r="E30" s="8">
        <f t="shared" si="0"/>
        <v>76</v>
      </c>
      <c r="F30" s="8">
        <f t="shared" si="1"/>
        <v>24</v>
      </c>
      <c r="G30" s="8">
        <f t="shared" si="2"/>
        <v>0</v>
      </c>
      <c r="H30" s="8">
        <f>100</f>
        <v>100</v>
      </c>
    </row>
    <row r="31" spans="2:8" x14ac:dyDescent="0.25">
      <c r="B31" s="7">
        <f>Data_Trade!B31</f>
        <v>1722</v>
      </c>
      <c r="C31" s="8">
        <f>Data_Trade!C31</f>
        <v>101.4</v>
      </c>
      <c r="D31" s="8">
        <f>Data_Trade!D31</f>
        <v>75.3</v>
      </c>
      <c r="E31" s="8">
        <f t="shared" si="0"/>
        <v>75.3</v>
      </c>
      <c r="F31" s="8">
        <f t="shared" si="1"/>
        <v>26.100000000000009</v>
      </c>
      <c r="G31" s="8">
        <f t="shared" si="2"/>
        <v>0</v>
      </c>
      <c r="H31" s="8">
        <f>100</f>
        <v>100</v>
      </c>
    </row>
    <row r="32" spans="2:8" x14ac:dyDescent="0.25">
      <c r="B32" s="7">
        <f>Data_Trade!B32</f>
        <v>1723</v>
      </c>
      <c r="C32" s="8">
        <f>Data_Trade!C32</f>
        <v>102.7</v>
      </c>
      <c r="D32" s="8">
        <f>Data_Trade!D32</f>
        <v>74.7</v>
      </c>
      <c r="E32" s="8">
        <f t="shared" si="0"/>
        <v>74.7</v>
      </c>
      <c r="F32" s="8">
        <f t="shared" si="1"/>
        <v>28</v>
      </c>
      <c r="G32" s="8">
        <f t="shared" si="2"/>
        <v>0</v>
      </c>
      <c r="H32" s="8">
        <f>100</f>
        <v>100</v>
      </c>
    </row>
    <row r="33" spans="2:9" x14ac:dyDescent="0.25">
      <c r="B33" s="7">
        <f>Data_Trade!B33</f>
        <v>1724</v>
      </c>
      <c r="C33" s="8">
        <f>Data_Trade!C33</f>
        <v>102.8</v>
      </c>
      <c r="D33" s="8">
        <f>Data_Trade!D33</f>
        <v>73.8</v>
      </c>
      <c r="E33" s="8">
        <f t="shared" si="0"/>
        <v>73.8</v>
      </c>
      <c r="F33" s="8">
        <f t="shared" si="1"/>
        <v>29</v>
      </c>
      <c r="G33" s="8">
        <f t="shared" si="2"/>
        <v>0</v>
      </c>
      <c r="H33" s="8">
        <f>100</f>
        <v>100</v>
      </c>
    </row>
    <row r="34" spans="2:9" x14ac:dyDescent="0.25">
      <c r="B34" s="7">
        <f>Data_Trade!B34</f>
        <v>1725</v>
      </c>
      <c r="C34" s="8">
        <f>Data_Trade!C34</f>
        <v>102</v>
      </c>
      <c r="D34" s="8">
        <f>Data_Trade!D34</f>
        <v>73.099999999999994</v>
      </c>
      <c r="E34" s="8">
        <f t="shared" si="0"/>
        <v>73.099999999999994</v>
      </c>
      <c r="F34" s="8">
        <f t="shared" si="1"/>
        <v>28.900000000000006</v>
      </c>
      <c r="G34" s="8">
        <f t="shared" si="2"/>
        <v>0</v>
      </c>
      <c r="H34" s="8">
        <f>100</f>
        <v>100</v>
      </c>
      <c r="I34" s="9" t="s">
        <v>9</v>
      </c>
    </row>
    <row r="35" spans="2:9" x14ac:dyDescent="0.25">
      <c r="B35" s="7">
        <f>Data_Trade!B35</f>
        <v>1726</v>
      </c>
      <c r="C35" s="8">
        <f>Data_Trade!C35</f>
        <v>102.8</v>
      </c>
      <c r="D35" s="8">
        <f>Data_Trade!D35</f>
        <v>72.099999999999994</v>
      </c>
      <c r="E35" s="8">
        <f t="shared" si="0"/>
        <v>72.099999999999994</v>
      </c>
      <c r="F35" s="8">
        <f t="shared" si="1"/>
        <v>30.700000000000003</v>
      </c>
      <c r="G35" s="8">
        <f t="shared" si="2"/>
        <v>0</v>
      </c>
      <c r="H35" s="8">
        <f>100</f>
        <v>100</v>
      </c>
      <c r="I35" s="9" t="s">
        <v>10</v>
      </c>
    </row>
    <row r="36" spans="2:9" x14ac:dyDescent="0.25">
      <c r="B36" s="7">
        <f>Data_Trade!B36</f>
        <v>1727</v>
      </c>
      <c r="C36" s="8">
        <f>Data_Trade!C36</f>
        <v>101.9</v>
      </c>
      <c r="D36" s="8">
        <f>Data_Trade!D36</f>
        <v>70.599999999999994</v>
      </c>
      <c r="E36" s="8">
        <f t="shared" si="0"/>
        <v>70.599999999999994</v>
      </c>
      <c r="F36" s="8">
        <f t="shared" si="1"/>
        <v>31.300000000000011</v>
      </c>
      <c r="G36" s="8">
        <f t="shared" si="2"/>
        <v>0</v>
      </c>
      <c r="H36" s="8">
        <f>100</f>
        <v>100</v>
      </c>
    </row>
    <row r="37" spans="2:9" x14ac:dyDescent="0.25">
      <c r="B37" s="7">
        <f>Data_Trade!B37</f>
        <v>1728</v>
      </c>
      <c r="C37" s="8">
        <f>Data_Trade!C37</f>
        <v>101</v>
      </c>
      <c r="D37" s="8">
        <f>Data_Trade!D37</f>
        <v>68.900000000000006</v>
      </c>
      <c r="E37" s="8">
        <f t="shared" si="0"/>
        <v>68.900000000000006</v>
      </c>
      <c r="F37" s="8">
        <f t="shared" si="1"/>
        <v>32.099999999999994</v>
      </c>
      <c r="G37" s="8">
        <f t="shared" si="2"/>
        <v>0</v>
      </c>
      <c r="H37" s="8">
        <f>100</f>
        <v>100</v>
      </c>
      <c r="I37" s="3" t="s">
        <v>2</v>
      </c>
    </row>
    <row r="38" spans="2:9" x14ac:dyDescent="0.25">
      <c r="B38" s="7">
        <f>Data_Trade!B38</f>
        <v>1729</v>
      </c>
      <c r="C38" s="8">
        <f>Data_Trade!C38</f>
        <v>100.1</v>
      </c>
      <c r="D38" s="8">
        <f>Data_Trade!D38</f>
        <v>67.400000000000006</v>
      </c>
      <c r="E38" s="8">
        <f t="shared" si="0"/>
        <v>67.400000000000006</v>
      </c>
      <c r="F38" s="8">
        <f t="shared" si="1"/>
        <v>32.699999999999989</v>
      </c>
      <c r="G38" s="8">
        <f t="shared" si="2"/>
        <v>0</v>
      </c>
      <c r="H38" s="8">
        <f>100</f>
        <v>100</v>
      </c>
    </row>
    <row r="39" spans="2:9" x14ac:dyDescent="0.25">
      <c r="B39" s="7">
        <f>Data_Trade!B39</f>
        <v>1730</v>
      </c>
      <c r="C39" s="8">
        <f>Data_Trade!C39</f>
        <v>97.8</v>
      </c>
      <c r="D39" s="8">
        <f>Data_Trade!D39</f>
        <v>65</v>
      </c>
      <c r="E39" s="8">
        <f t="shared" si="0"/>
        <v>65</v>
      </c>
      <c r="F39" s="8">
        <f t="shared" si="1"/>
        <v>32.799999999999997</v>
      </c>
      <c r="G39" s="8">
        <f t="shared" si="2"/>
        <v>0</v>
      </c>
      <c r="H39" s="8">
        <f>100</f>
        <v>100</v>
      </c>
    </row>
    <row r="40" spans="2:9" x14ac:dyDescent="0.25">
      <c r="B40" s="7">
        <f>Data_Trade!B40</f>
        <v>1731</v>
      </c>
      <c r="C40" s="8">
        <f>Data_Trade!C40</f>
        <v>96.7</v>
      </c>
      <c r="D40" s="8">
        <f>Data_Trade!D40</f>
        <v>63.5</v>
      </c>
      <c r="E40" s="8">
        <f t="shared" si="0"/>
        <v>63.5</v>
      </c>
      <c r="F40" s="8">
        <f t="shared" si="1"/>
        <v>33.200000000000003</v>
      </c>
      <c r="G40" s="8">
        <f t="shared" si="2"/>
        <v>0</v>
      </c>
      <c r="H40" s="8">
        <f>100</f>
        <v>100</v>
      </c>
    </row>
    <row r="41" spans="2:9" x14ac:dyDescent="0.25">
      <c r="B41" s="7">
        <f>Data_Trade!B41</f>
        <v>1732</v>
      </c>
      <c r="C41" s="8">
        <f>Data_Trade!C41</f>
        <v>95.2</v>
      </c>
      <c r="D41" s="8">
        <f>Data_Trade!D41</f>
        <v>62.4</v>
      </c>
      <c r="E41" s="8">
        <f t="shared" ref="E41:E72" si="3">MIN(C41,D41)</f>
        <v>62.4</v>
      </c>
      <c r="F41" s="8">
        <f t="shared" ref="F41:F72" si="4">MAX(C41-D41,0)</f>
        <v>32.800000000000004</v>
      </c>
      <c r="G41" s="8">
        <f t="shared" ref="G41:G72" si="5">MAX(D41-C41,0)</f>
        <v>0</v>
      </c>
      <c r="H41" s="8">
        <f>100</f>
        <v>100</v>
      </c>
    </row>
    <row r="42" spans="2:9" x14ac:dyDescent="0.25">
      <c r="B42" s="7">
        <f>Data_Trade!B42</f>
        <v>1733</v>
      </c>
      <c r="C42" s="8">
        <f>Data_Trade!C42</f>
        <v>94.3</v>
      </c>
      <c r="D42" s="8">
        <f>Data_Trade!D42</f>
        <v>61.5</v>
      </c>
      <c r="E42" s="8">
        <f t="shared" si="3"/>
        <v>61.5</v>
      </c>
      <c r="F42" s="8">
        <f t="shared" si="4"/>
        <v>32.799999999999997</v>
      </c>
      <c r="G42" s="8">
        <f t="shared" si="5"/>
        <v>0</v>
      </c>
      <c r="H42" s="8">
        <f>100</f>
        <v>100</v>
      </c>
    </row>
    <row r="43" spans="2:9" x14ac:dyDescent="0.25">
      <c r="B43" s="7">
        <f>Data_Trade!B43</f>
        <v>1734</v>
      </c>
      <c r="C43" s="8">
        <f>Data_Trade!C43</f>
        <v>94</v>
      </c>
      <c r="D43" s="8">
        <f>Data_Trade!D43</f>
        <v>61.4</v>
      </c>
      <c r="E43" s="8">
        <f t="shared" si="3"/>
        <v>61.4</v>
      </c>
      <c r="F43" s="8">
        <f t="shared" si="4"/>
        <v>32.6</v>
      </c>
      <c r="G43" s="8">
        <f t="shared" si="5"/>
        <v>0</v>
      </c>
      <c r="H43" s="8">
        <f>100</f>
        <v>100</v>
      </c>
    </row>
    <row r="44" spans="2:9" x14ac:dyDescent="0.25">
      <c r="B44" s="7">
        <f>Data_Trade!B44</f>
        <v>1735</v>
      </c>
      <c r="C44" s="8">
        <f>Data_Trade!C44</f>
        <v>93.4</v>
      </c>
      <c r="D44" s="8">
        <f>Data_Trade!D44</f>
        <v>61.4</v>
      </c>
      <c r="E44" s="8">
        <f t="shared" si="3"/>
        <v>61.4</v>
      </c>
      <c r="F44" s="8">
        <f t="shared" si="4"/>
        <v>32.000000000000007</v>
      </c>
      <c r="G44" s="8">
        <f t="shared" si="5"/>
        <v>0</v>
      </c>
      <c r="H44" s="8">
        <f>100</f>
        <v>100</v>
      </c>
    </row>
    <row r="45" spans="2:9" x14ac:dyDescent="0.25">
      <c r="B45" s="7">
        <f>Data_Trade!B45</f>
        <v>1736</v>
      </c>
      <c r="C45" s="8">
        <f>Data_Trade!C45</f>
        <v>93.6</v>
      </c>
      <c r="D45" s="8">
        <f>Data_Trade!D45</f>
        <v>61.3</v>
      </c>
      <c r="E45" s="8">
        <f t="shared" si="3"/>
        <v>61.3</v>
      </c>
      <c r="F45" s="8">
        <f t="shared" si="4"/>
        <v>32.299999999999997</v>
      </c>
      <c r="G45" s="8">
        <f t="shared" si="5"/>
        <v>0</v>
      </c>
      <c r="H45" s="8">
        <f>100</f>
        <v>100</v>
      </c>
    </row>
    <row r="46" spans="2:9" x14ac:dyDescent="0.25">
      <c r="B46" s="7">
        <f>Data_Trade!B46</f>
        <v>1737</v>
      </c>
      <c r="C46" s="8">
        <f>Data_Trade!C46</f>
        <v>93.5</v>
      </c>
      <c r="D46" s="8">
        <f>Data_Trade!D46</f>
        <v>62</v>
      </c>
      <c r="E46" s="8">
        <f t="shared" si="3"/>
        <v>62</v>
      </c>
      <c r="F46" s="8">
        <f t="shared" si="4"/>
        <v>31.5</v>
      </c>
      <c r="G46" s="8">
        <f t="shared" si="5"/>
        <v>0</v>
      </c>
      <c r="H46" s="8">
        <f>100</f>
        <v>100</v>
      </c>
    </row>
    <row r="47" spans="2:9" x14ac:dyDescent="0.25">
      <c r="B47" s="7">
        <f>Data_Trade!B47</f>
        <v>1738</v>
      </c>
      <c r="C47" s="8">
        <f>Data_Trade!C47</f>
        <v>93.4</v>
      </c>
      <c r="D47" s="8">
        <f>Data_Trade!D47</f>
        <v>63</v>
      </c>
      <c r="E47" s="8">
        <f t="shared" si="3"/>
        <v>63</v>
      </c>
      <c r="F47" s="8">
        <f t="shared" si="4"/>
        <v>30.400000000000006</v>
      </c>
      <c r="G47" s="8">
        <f t="shared" si="5"/>
        <v>0</v>
      </c>
      <c r="H47" s="8">
        <f>100</f>
        <v>100</v>
      </c>
    </row>
    <row r="48" spans="2:9" x14ac:dyDescent="0.25">
      <c r="B48" s="7">
        <f>Data_Trade!B48</f>
        <v>1739</v>
      </c>
      <c r="C48" s="8">
        <f>Data_Trade!C48</f>
        <v>93.5</v>
      </c>
      <c r="D48" s="8">
        <f>Data_Trade!D48</f>
        <v>64.3</v>
      </c>
      <c r="E48" s="8">
        <f t="shared" si="3"/>
        <v>64.3</v>
      </c>
      <c r="F48" s="8">
        <f t="shared" si="4"/>
        <v>29.200000000000003</v>
      </c>
      <c r="G48" s="8">
        <f t="shared" si="5"/>
        <v>0</v>
      </c>
      <c r="H48" s="8">
        <f>100</f>
        <v>100</v>
      </c>
    </row>
    <row r="49" spans="2:8" x14ac:dyDescent="0.25">
      <c r="B49" s="7">
        <f>Data_Trade!B49</f>
        <v>1740</v>
      </c>
      <c r="C49" s="8">
        <f>Data_Trade!C49</f>
        <v>93.5</v>
      </c>
      <c r="D49" s="8">
        <f>Data_Trade!D49</f>
        <v>66</v>
      </c>
      <c r="E49" s="8">
        <f t="shared" si="3"/>
        <v>66</v>
      </c>
      <c r="F49" s="8">
        <f t="shared" si="4"/>
        <v>27.5</v>
      </c>
      <c r="G49" s="8">
        <f t="shared" si="5"/>
        <v>0</v>
      </c>
      <c r="H49" s="8">
        <f>100</f>
        <v>100</v>
      </c>
    </row>
    <row r="50" spans="2:8" x14ac:dyDescent="0.25">
      <c r="B50" s="7">
        <f>Data_Trade!B50</f>
        <v>1741</v>
      </c>
      <c r="C50" s="8">
        <f>Data_Trade!C50</f>
        <v>93.7</v>
      </c>
      <c r="D50" s="8">
        <f>Data_Trade!D50</f>
        <v>68</v>
      </c>
      <c r="E50" s="8">
        <f t="shared" si="3"/>
        <v>68</v>
      </c>
      <c r="F50" s="8">
        <f t="shared" si="4"/>
        <v>25.700000000000003</v>
      </c>
      <c r="G50" s="8">
        <f t="shared" si="5"/>
        <v>0</v>
      </c>
      <c r="H50" s="8">
        <f>100</f>
        <v>100</v>
      </c>
    </row>
    <row r="51" spans="2:8" x14ac:dyDescent="0.25">
      <c r="B51" s="7">
        <f>Data_Trade!B51</f>
        <v>1742</v>
      </c>
      <c r="C51" s="8">
        <f>Data_Trade!C51</f>
        <v>93.9</v>
      </c>
      <c r="D51" s="8">
        <f>Data_Trade!D51</f>
        <v>70.2</v>
      </c>
      <c r="E51" s="8">
        <f t="shared" si="3"/>
        <v>70.2</v>
      </c>
      <c r="F51" s="8">
        <f t="shared" si="4"/>
        <v>23.700000000000003</v>
      </c>
      <c r="G51" s="8">
        <f t="shared" si="5"/>
        <v>0</v>
      </c>
      <c r="H51" s="8">
        <f>100</f>
        <v>100</v>
      </c>
    </row>
    <row r="52" spans="2:8" x14ac:dyDescent="0.25">
      <c r="B52" s="7">
        <f>Data_Trade!B52</f>
        <v>1743</v>
      </c>
      <c r="C52" s="8">
        <f>Data_Trade!C52</f>
        <v>93.5</v>
      </c>
      <c r="D52" s="8">
        <f>Data_Trade!D52</f>
        <v>72.5</v>
      </c>
      <c r="E52" s="8">
        <f t="shared" si="3"/>
        <v>72.5</v>
      </c>
      <c r="F52" s="8">
        <f t="shared" si="4"/>
        <v>21</v>
      </c>
      <c r="G52" s="8">
        <f t="shared" si="5"/>
        <v>0</v>
      </c>
      <c r="H52" s="8">
        <f>100</f>
        <v>100</v>
      </c>
    </row>
    <row r="53" spans="2:8" x14ac:dyDescent="0.25">
      <c r="B53" s="7">
        <f>Data_Trade!B53</f>
        <v>1744</v>
      </c>
      <c r="C53" s="8">
        <f>Data_Trade!C53</f>
        <v>93.3</v>
      </c>
      <c r="D53" s="8">
        <f>Data_Trade!D53</f>
        <v>73.900000000000006</v>
      </c>
      <c r="E53" s="8">
        <f t="shared" si="3"/>
        <v>73.900000000000006</v>
      </c>
      <c r="F53" s="8">
        <f t="shared" si="4"/>
        <v>19.399999999999991</v>
      </c>
      <c r="G53" s="8">
        <f t="shared" si="5"/>
        <v>0</v>
      </c>
      <c r="H53" s="8">
        <f>100</f>
        <v>100</v>
      </c>
    </row>
    <row r="54" spans="2:8" x14ac:dyDescent="0.25">
      <c r="B54" s="7">
        <f>Data_Trade!B54</f>
        <v>1745</v>
      </c>
      <c r="C54" s="8">
        <f>Data_Trade!C54</f>
        <v>93</v>
      </c>
      <c r="D54" s="8">
        <f>Data_Trade!D54</f>
        <v>74.7</v>
      </c>
      <c r="E54" s="8">
        <f t="shared" si="3"/>
        <v>74.7</v>
      </c>
      <c r="F54" s="8">
        <f t="shared" si="4"/>
        <v>18.299999999999997</v>
      </c>
      <c r="G54" s="8">
        <f t="shared" si="5"/>
        <v>0</v>
      </c>
      <c r="H54" s="8">
        <f>100</f>
        <v>100</v>
      </c>
    </row>
    <row r="55" spans="2:8" x14ac:dyDescent="0.25">
      <c r="B55" s="7">
        <f>Data_Trade!B55</f>
        <v>1746</v>
      </c>
      <c r="C55" s="8">
        <f>Data_Trade!C55</f>
        <v>92.3</v>
      </c>
      <c r="D55" s="8">
        <f>Data_Trade!D55</f>
        <v>75.3</v>
      </c>
      <c r="E55" s="8">
        <f t="shared" si="3"/>
        <v>75.3</v>
      </c>
      <c r="F55" s="8">
        <f t="shared" si="4"/>
        <v>17</v>
      </c>
      <c r="G55" s="8">
        <f t="shared" si="5"/>
        <v>0</v>
      </c>
      <c r="H55" s="8">
        <f>100</f>
        <v>100</v>
      </c>
    </row>
    <row r="56" spans="2:8" x14ac:dyDescent="0.25">
      <c r="B56" s="7">
        <f>Data_Trade!B56</f>
        <v>1747</v>
      </c>
      <c r="C56" s="8">
        <f>Data_Trade!C56</f>
        <v>92.5</v>
      </c>
      <c r="D56" s="8">
        <f>Data_Trade!D56</f>
        <v>75.900000000000006</v>
      </c>
      <c r="E56" s="8">
        <f t="shared" si="3"/>
        <v>75.900000000000006</v>
      </c>
      <c r="F56" s="8">
        <f t="shared" si="4"/>
        <v>16.599999999999994</v>
      </c>
      <c r="G56" s="8">
        <f t="shared" si="5"/>
        <v>0</v>
      </c>
      <c r="H56" s="8">
        <f>100</f>
        <v>100</v>
      </c>
    </row>
    <row r="57" spans="2:8" x14ac:dyDescent="0.25">
      <c r="B57" s="7">
        <f>Data_Trade!B57</f>
        <v>1748</v>
      </c>
      <c r="C57" s="8">
        <f>Data_Trade!C57</f>
        <v>92.1</v>
      </c>
      <c r="D57" s="8">
        <f>Data_Trade!D57</f>
        <v>76.3</v>
      </c>
      <c r="E57" s="8">
        <f t="shared" si="3"/>
        <v>76.3</v>
      </c>
      <c r="F57" s="8">
        <f t="shared" si="4"/>
        <v>15.799999999999997</v>
      </c>
      <c r="G57" s="8">
        <f t="shared" si="5"/>
        <v>0</v>
      </c>
      <c r="H57" s="8">
        <f>100</f>
        <v>100</v>
      </c>
    </row>
    <row r="58" spans="2:8" x14ac:dyDescent="0.25">
      <c r="B58" s="7">
        <f>Data_Trade!B58</f>
        <v>1749</v>
      </c>
      <c r="C58" s="8">
        <f>Data_Trade!C58</f>
        <v>91.5</v>
      </c>
      <c r="D58" s="8">
        <f>Data_Trade!D58</f>
        <v>77.2</v>
      </c>
      <c r="E58" s="8">
        <f t="shared" si="3"/>
        <v>77.2</v>
      </c>
      <c r="F58" s="8">
        <f t="shared" si="4"/>
        <v>14.299999999999997</v>
      </c>
      <c r="G58" s="8">
        <f t="shared" si="5"/>
        <v>0</v>
      </c>
      <c r="H58" s="8">
        <f>100</f>
        <v>100</v>
      </c>
    </row>
    <row r="59" spans="2:8" x14ac:dyDescent="0.25">
      <c r="B59" s="7">
        <f>Data_Trade!B59</f>
        <v>1750</v>
      </c>
      <c r="C59" s="8">
        <f>Data_Trade!C59</f>
        <v>90.9</v>
      </c>
      <c r="D59" s="8">
        <f>Data_Trade!D59</f>
        <v>78.2</v>
      </c>
      <c r="E59" s="8">
        <f t="shared" si="3"/>
        <v>78.2</v>
      </c>
      <c r="F59" s="8">
        <f t="shared" si="4"/>
        <v>12.700000000000003</v>
      </c>
      <c r="G59" s="8">
        <f t="shared" si="5"/>
        <v>0</v>
      </c>
      <c r="H59" s="8">
        <f>100</f>
        <v>100</v>
      </c>
    </row>
    <row r="60" spans="2:8" x14ac:dyDescent="0.25">
      <c r="B60" s="7">
        <f>Data_Trade!B60</f>
        <v>1751</v>
      </c>
      <c r="C60" s="8">
        <f>Data_Trade!C60</f>
        <v>90</v>
      </c>
      <c r="D60" s="8">
        <f>Data_Trade!D60</f>
        <v>79.2</v>
      </c>
      <c r="E60" s="8">
        <f t="shared" si="3"/>
        <v>79.2</v>
      </c>
      <c r="F60" s="8">
        <f t="shared" si="4"/>
        <v>10.799999999999997</v>
      </c>
      <c r="G60" s="8">
        <f t="shared" si="5"/>
        <v>0</v>
      </c>
      <c r="H60" s="8">
        <f>100</f>
        <v>100</v>
      </c>
    </row>
    <row r="61" spans="2:8" x14ac:dyDescent="0.25">
      <c r="B61" s="7">
        <f>Data_Trade!B61</f>
        <v>1752</v>
      </c>
      <c r="C61" s="8">
        <f>Data_Trade!C61</f>
        <v>87.9</v>
      </c>
      <c r="D61" s="8">
        <f>Data_Trade!D61</f>
        <v>80.099999999999994</v>
      </c>
      <c r="E61" s="8">
        <f t="shared" si="3"/>
        <v>80.099999999999994</v>
      </c>
      <c r="F61" s="8">
        <f t="shared" si="4"/>
        <v>7.8000000000000114</v>
      </c>
      <c r="G61" s="8">
        <f t="shared" si="5"/>
        <v>0</v>
      </c>
      <c r="H61" s="8">
        <f>100</f>
        <v>100</v>
      </c>
    </row>
    <row r="62" spans="2:8" x14ac:dyDescent="0.25">
      <c r="B62" s="7">
        <f>Data_Trade!B62</f>
        <v>1753</v>
      </c>
      <c r="C62" s="8">
        <f>Data_Trade!C62</f>
        <v>84.8</v>
      </c>
      <c r="D62" s="8">
        <f>Data_Trade!D62</f>
        <v>80.7</v>
      </c>
      <c r="E62" s="8">
        <f t="shared" si="3"/>
        <v>80.7</v>
      </c>
      <c r="F62" s="8">
        <f t="shared" si="4"/>
        <v>4.0999999999999943</v>
      </c>
      <c r="G62" s="8">
        <f t="shared" si="5"/>
        <v>0</v>
      </c>
      <c r="H62" s="8">
        <f>100</f>
        <v>100</v>
      </c>
    </row>
    <row r="63" spans="2:8" x14ac:dyDescent="0.25">
      <c r="B63" s="7">
        <f>Data_Trade!B63</f>
        <v>1754</v>
      </c>
      <c r="C63" s="8">
        <f>Data_Trade!C63</f>
        <v>82.9</v>
      </c>
      <c r="D63" s="8">
        <f>Data_Trade!D63</f>
        <v>81.3</v>
      </c>
      <c r="E63" s="8">
        <f t="shared" si="3"/>
        <v>81.3</v>
      </c>
      <c r="F63" s="8">
        <f t="shared" si="4"/>
        <v>1.6000000000000085</v>
      </c>
      <c r="G63" s="8">
        <f t="shared" si="5"/>
        <v>0</v>
      </c>
      <c r="H63" s="8">
        <f>100</f>
        <v>100</v>
      </c>
    </row>
    <row r="64" spans="2:8" x14ac:dyDescent="0.25">
      <c r="B64" s="7">
        <f>Data_Trade!B64</f>
        <v>1755</v>
      </c>
      <c r="C64" s="8">
        <f>Data_Trade!C64</f>
        <v>79.8</v>
      </c>
      <c r="D64" s="8">
        <f>Data_Trade!D64</f>
        <v>84</v>
      </c>
      <c r="E64" s="8">
        <f t="shared" si="3"/>
        <v>79.8</v>
      </c>
      <c r="F64" s="8">
        <f t="shared" si="4"/>
        <v>0</v>
      </c>
      <c r="G64" s="8">
        <f t="shared" si="5"/>
        <v>4.2000000000000028</v>
      </c>
      <c r="H64" s="8">
        <f>100</f>
        <v>100</v>
      </c>
    </row>
    <row r="65" spans="2:8" x14ac:dyDescent="0.25">
      <c r="B65" s="7">
        <f>Data_Trade!B65</f>
        <v>1756</v>
      </c>
      <c r="C65" s="8">
        <f>Data_Trade!C65</f>
        <v>78.400000000000006</v>
      </c>
      <c r="D65" s="8">
        <f>Data_Trade!D65</f>
        <v>86.8</v>
      </c>
      <c r="E65" s="8">
        <f t="shared" si="3"/>
        <v>78.400000000000006</v>
      </c>
      <c r="F65" s="8">
        <f t="shared" si="4"/>
        <v>0</v>
      </c>
      <c r="G65" s="8">
        <f t="shared" si="5"/>
        <v>8.3999999999999915</v>
      </c>
      <c r="H65" s="8">
        <f>100</f>
        <v>100</v>
      </c>
    </row>
    <row r="66" spans="2:8" x14ac:dyDescent="0.25">
      <c r="B66" s="7">
        <f>Data_Trade!B66</f>
        <v>1757</v>
      </c>
      <c r="C66" s="8">
        <f>Data_Trade!C66</f>
        <v>78</v>
      </c>
      <c r="D66" s="8">
        <f>Data_Trade!D66</f>
        <v>92.1</v>
      </c>
      <c r="E66" s="8">
        <f t="shared" si="3"/>
        <v>78</v>
      </c>
      <c r="F66" s="8">
        <f t="shared" si="4"/>
        <v>0</v>
      </c>
      <c r="G66" s="8">
        <f t="shared" si="5"/>
        <v>14.099999999999994</v>
      </c>
      <c r="H66" s="8">
        <f>100</f>
        <v>100</v>
      </c>
    </row>
    <row r="67" spans="2:8" x14ac:dyDescent="0.25">
      <c r="B67" s="7">
        <f>Data_Trade!B67</f>
        <v>1758</v>
      </c>
      <c r="C67" s="8">
        <f>Data_Trade!C67</f>
        <v>77.5</v>
      </c>
      <c r="D67" s="8">
        <f>Data_Trade!D67</f>
        <v>97.9</v>
      </c>
      <c r="E67" s="8">
        <f t="shared" si="3"/>
        <v>77.5</v>
      </c>
      <c r="F67" s="8">
        <f t="shared" si="4"/>
        <v>0</v>
      </c>
      <c r="G67" s="8">
        <f t="shared" si="5"/>
        <v>20.400000000000006</v>
      </c>
      <c r="H67" s="8">
        <f>100</f>
        <v>100</v>
      </c>
    </row>
    <row r="68" spans="2:8" x14ac:dyDescent="0.25">
      <c r="B68" s="7">
        <f>Data_Trade!B68</f>
        <v>1759</v>
      </c>
      <c r="C68" s="8">
        <f>Data_Trade!C68</f>
        <v>77.400000000000006</v>
      </c>
      <c r="D68" s="8">
        <f>Data_Trade!D68</f>
        <v>105.4</v>
      </c>
      <c r="E68" s="8">
        <f t="shared" si="3"/>
        <v>77.400000000000006</v>
      </c>
      <c r="F68" s="8">
        <f t="shared" si="4"/>
        <v>0</v>
      </c>
      <c r="G68" s="8">
        <f t="shared" si="5"/>
        <v>28</v>
      </c>
      <c r="H68" s="8">
        <f>100</f>
        <v>100</v>
      </c>
    </row>
    <row r="69" spans="2:8" x14ac:dyDescent="0.25">
      <c r="B69" s="7">
        <f>Data_Trade!B69</f>
        <v>1760</v>
      </c>
      <c r="C69" s="8">
        <f>Data_Trade!C69</f>
        <v>77.400000000000006</v>
      </c>
      <c r="D69" s="8">
        <f>Data_Trade!D69</f>
        <v>119.3</v>
      </c>
      <c r="E69" s="8">
        <f t="shared" si="3"/>
        <v>77.400000000000006</v>
      </c>
      <c r="F69" s="8">
        <f t="shared" si="4"/>
        <v>0</v>
      </c>
      <c r="G69" s="8">
        <f t="shared" si="5"/>
        <v>41.899999999999991</v>
      </c>
      <c r="H69" s="8">
        <f>100</f>
        <v>100</v>
      </c>
    </row>
    <row r="70" spans="2:8" x14ac:dyDescent="0.25">
      <c r="B70" s="7">
        <f>Data_Trade!B70</f>
        <v>1761</v>
      </c>
      <c r="C70" s="8">
        <f>Data_Trade!C70</f>
        <v>77.599999999999994</v>
      </c>
      <c r="D70" s="8">
        <f>Data_Trade!D70</f>
        <v>127.9</v>
      </c>
      <c r="E70" s="8">
        <f t="shared" si="3"/>
        <v>77.599999999999994</v>
      </c>
      <c r="F70" s="8">
        <f t="shared" si="4"/>
        <v>0</v>
      </c>
      <c r="G70" s="8">
        <f t="shared" si="5"/>
        <v>50.300000000000011</v>
      </c>
      <c r="H70" s="8">
        <f>100</f>
        <v>100</v>
      </c>
    </row>
    <row r="71" spans="2:8" x14ac:dyDescent="0.25">
      <c r="B71" s="7">
        <f>Data_Trade!B71</f>
        <v>1762</v>
      </c>
      <c r="C71" s="8">
        <f>Data_Trade!C71</f>
        <v>78</v>
      </c>
      <c r="D71" s="8">
        <f>Data_Trade!D71</f>
        <v>135.6</v>
      </c>
      <c r="E71" s="8">
        <f t="shared" si="3"/>
        <v>78</v>
      </c>
      <c r="F71" s="8">
        <f t="shared" si="4"/>
        <v>0</v>
      </c>
      <c r="G71" s="8">
        <f t="shared" si="5"/>
        <v>57.599999999999994</v>
      </c>
      <c r="H71" s="8">
        <f>100</f>
        <v>100</v>
      </c>
    </row>
    <row r="72" spans="2:8" x14ac:dyDescent="0.25">
      <c r="B72" s="7">
        <f>Data_Trade!B72</f>
        <v>1763</v>
      </c>
      <c r="C72" s="8">
        <f>Data_Trade!C72</f>
        <v>78.2</v>
      </c>
      <c r="D72" s="8">
        <f>Data_Trade!D72</f>
        <v>142.6</v>
      </c>
      <c r="E72" s="8">
        <f t="shared" si="3"/>
        <v>78.2</v>
      </c>
      <c r="F72" s="8">
        <f t="shared" si="4"/>
        <v>0</v>
      </c>
      <c r="G72" s="8">
        <f t="shared" si="5"/>
        <v>64.399999999999991</v>
      </c>
      <c r="H72" s="8">
        <f>100</f>
        <v>100</v>
      </c>
    </row>
    <row r="73" spans="2:8" x14ac:dyDescent="0.25">
      <c r="B73" s="7">
        <f>Data_Trade!B73</f>
        <v>1764</v>
      </c>
      <c r="C73" s="8">
        <f>Data_Trade!C73</f>
        <v>78.7</v>
      </c>
      <c r="D73" s="8">
        <f>Data_Trade!D73</f>
        <v>146.5</v>
      </c>
      <c r="E73" s="8">
        <f t="shared" ref="E73:E104" si="6">MIN(C73,D73)</f>
        <v>78.7</v>
      </c>
      <c r="F73" s="8">
        <f t="shared" ref="F73:F89" si="7">MAX(C73-D73,0)</f>
        <v>0</v>
      </c>
      <c r="G73" s="8">
        <f t="shared" ref="G73:G89" si="8">MAX(D73-C73,0)</f>
        <v>67.8</v>
      </c>
      <c r="H73" s="8">
        <f>100</f>
        <v>100</v>
      </c>
    </row>
    <row r="74" spans="2:8" x14ac:dyDescent="0.25">
      <c r="B74" s="7">
        <f>Data_Trade!B74</f>
        <v>1765</v>
      </c>
      <c r="C74" s="8">
        <f>Data_Trade!C74</f>
        <v>79.3</v>
      </c>
      <c r="D74" s="8">
        <f>Data_Trade!D74</f>
        <v>150.69999999999999</v>
      </c>
      <c r="E74" s="8">
        <f t="shared" si="6"/>
        <v>79.3</v>
      </c>
      <c r="F74" s="8">
        <f t="shared" si="7"/>
        <v>0</v>
      </c>
      <c r="G74" s="8">
        <f t="shared" si="8"/>
        <v>71.399999999999991</v>
      </c>
      <c r="H74" s="8">
        <f>100</f>
        <v>100</v>
      </c>
    </row>
    <row r="75" spans="2:8" x14ac:dyDescent="0.25">
      <c r="B75" s="7">
        <f>Data_Trade!B75</f>
        <v>1766</v>
      </c>
      <c r="C75" s="8">
        <f>Data_Trade!C75</f>
        <v>80.2</v>
      </c>
      <c r="D75" s="8">
        <f>Data_Trade!D75</f>
        <v>152.80000000000001</v>
      </c>
      <c r="E75" s="8">
        <f t="shared" si="6"/>
        <v>80.2</v>
      </c>
      <c r="F75" s="8">
        <f t="shared" si="7"/>
        <v>0</v>
      </c>
      <c r="G75" s="8">
        <f t="shared" si="8"/>
        <v>72.600000000000009</v>
      </c>
      <c r="H75" s="8">
        <f>100</f>
        <v>100</v>
      </c>
    </row>
    <row r="76" spans="2:8" x14ac:dyDescent="0.25">
      <c r="B76" s="7">
        <f>Data_Trade!B76</f>
        <v>1767</v>
      </c>
      <c r="C76" s="8">
        <f>Data_Trade!C76</f>
        <v>81.2</v>
      </c>
      <c r="D76" s="8">
        <f>Data_Trade!D76</f>
        <v>156</v>
      </c>
      <c r="E76" s="8">
        <f t="shared" si="6"/>
        <v>81.2</v>
      </c>
      <c r="F76" s="8">
        <f t="shared" si="7"/>
        <v>0</v>
      </c>
      <c r="G76" s="8">
        <f t="shared" si="8"/>
        <v>74.8</v>
      </c>
      <c r="H76" s="8">
        <f>100</f>
        <v>100</v>
      </c>
    </row>
    <row r="77" spans="2:8" x14ac:dyDescent="0.25">
      <c r="B77" s="7">
        <f>Data_Trade!B77</f>
        <v>1768</v>
      </c>
      <c r="C77" s="8">
        <f>Data_Trade!C77</f>
        <v>82</v>
      </c>
      <c r="D77" s="8">
        <f>Data_Trade!D77</f>
        <v>159.30000000000001</v>
      </c>
      <c r="E77" s="8">
        <f t="shared" si="6"/>
        <v>82</v>
      </c>
      <c r="F77" s="8">
        <f t="shared" si="7"/>
        <v>0</v>
      </c>
      <c r="G77" s="8">
        <f t="shared" si="8"/>
        <v>77.300000000000011</v>
      </c>
      <c r="H77" s="8">
        <f>100</f>
        <v>100</v>
      </c>
    </row>
    <row r="78" spans="2:8" x14ac:dyDescent="0.25">
      <c r="B78" s="7">
        <f>Data_Trade!B78</f>
        <v>1769</v>
      </c>
      <c r="C78" s="8">
        <f>Data_Trade!C78</f>
        <v>82.9</v>
      </c>
      <c r="D78" s="8">
        <f>Data_Trade!D78</f>
        <v>162.1</v>
      </c>
      <c r="E78" s="8">
        <f t="shared" si="6"/>
        <v>82.9</v>
      </c>
      <c r="F78" s="8">
        <f t="shared" si="7"/>
        <v>0</v>
      </c>
      <c r="G78" s="8">
        <f t="shared" si="8"/>
        <v>79.199999999999989</v>
      </c>
      <c r="H78" s="8">
        <f>100</f>
        <v>100</v>
      </c>
    </row>
    <row r="79" spans="2:8" x14ac:dyDescent="0.25">
      <c r="B79" s="7">
        <f>Data_Trade!B79</f>
        <v>1770</v>
      </c>
      <c r="C79" s="8">
        <f>Data_Trade!C79</f>
        <v>84</v>
      </c>
      <c r="D79" s="8">
        <f>Data_Trade!D79</f>
        <v>164.2</v>
      </c>
      <c r="E79" s="8">
        <f t="shared" si="6"/>
        <v>84</v>
      </c>
      <c r="F79" s="8">
        <f t="shared" si="7"/>
        <v>0</v>
      </c>
      <c r="G79" s="8">
        <f t="shared" si="8"/>
        <v>80.199999999999989</v>
      </c>
      <c r="H79" s="8">
        <f>100</f>
        <v>100</v>
      </c>
    </row>
    <row r="80" spans="2:8" x14ac:dyDescent="0.25">
      <c r="B80" s="7">
        <f>Data_Trade!B80</f>
        <v>1771</v>
      </c>
      <c r="C80" s="8">
        <f>Data_Trade!C80</f>
        <v>85.9</v>
      </c>
      <c r="D80" s="8">
        <f>Data_Trade!D80</f>
        <v>166.6</v>
      </c>
      <c r="E80" s="8">
        <f t="shared" si="6"/>
        <v>85.9</v>
      </c>
      <c r="F80" s="8">
        <f t="shared" si="7"/>
        <v>0</v>
      </c>
      <c r="G80" s="8">
        <f t="shared" si="8"/>
        <v>80.699999999999989</v>
      </c>
      <c r="H80" s="8">
        <f>100</f>
        <v>100</v>
      </c>
    </row>
    <row r="81" spans="2:8" x14ac:dyDescent="0.25">
      <c r="B81" s="7">
        <f>Data_Trade!B81</f>
        <v>1772</v>
      </c>
      <c r="C81" s="8">
        <f>Data_Trade!C81</f>
        <v>87.3</v>
      </c>
      <c r="D81" s="8">
        <f>Data_Trade!D81</f>
        <v>169.2</v>
      </c>
      <c r="E81" s="8">
        <f t="shared" si="6"/>
        <v>87.3</v>
      </c>
      <c r="F81" s="8">
        <f t="shared" si="7"/>
        <v>0</v>
      </c>
      <c r="G81" s="8">
        <f t="shared" si="8"/>
        <v>81.899999999999991</v>
      </c>
      <c r="H81" s="8">
        <f>100</f>
        <v>100</v>
      </c>
    </row>
    <row r="82" spans="2:8" x14ac:dyDescent="0.25">
      <c r="B82" s="7">
        <f>Data_Trade!B82</f>
        <v>1773</v>
      </c>
      <c r="C82" s="8">
        <f>Data_Trade!C82</f>
        <v>89</v>
      </c>
      <c r="D82" s="8">
        <f>Data_Trade!D82</f>
        <v>172.5</v>
      </c>
      <c r="E82" s="8">
        <f t="shared" si="6"/>
        <v>89</v>
      </c>
      <c r="F82" s="8">
        <f t="shared" si="7"/>
        <v>0</v>
      </c>
      <c r="G82" s="8">
        <f t="shared" si="8"/>
        <v>83.5</v>
      </c>
      <c r="H82" s="8">
        <f>100</f>
        <v>100</v>
      </c>
    </row>
    <row r="83" spans="2:8" x14ac:dyDescent="0.25">
      <c r="B83" s="7">
        <f>Data_Trade!B83</f>
        <v>1774</v>
      </c>
      <c r="C83" s="8">
        <f>Data_Trade!C83</f>
        <v>90.6</v>
      </c>
      <c r="D83" s="8">
        <f>Data_Trade!D83</f>
        <v>175.8</v>
      </c>
      <c r="E83" s="8">
        <f t="shared" si="6"/>
        <v>90.6</v>
      </c>
      <c r="F83" s="8">
        <f t="shared" si="7"/>
        <v>0</v>
      </c>
      <c r="G83" s="8">
        <f t="shared" si="8"/>
        <v>85.200000000000017</v>
      </c>
      <c r="H83" s="8">
        <f>100</f>
        <v>100</v>
      </c>
    </row>
    <row r="84" spans="2:8" x14ac:dyDescent="0.25">
      <c r="B84" s="7">
        <f>Data_Trade!B84</f>
        <v>1775</v>
      </c>
      <c r="C84" s="8">
        <f>Data_Trade!C84</f>
        <v>91.5</v>
      </c>
      <c r="D84" s="8">
        <f>Data_Trade!D84</f>
        <v>178.8</v>
      </c>
      <c r="E84" s="8">
        <f t="shared" si="6"/>
        <v>91.5</v>
      </c>
      <c r="F84" s="8">
        <f t="shared" si="7"/>
        <v>0</v>
      </c>
      <c r="G84" s="8">
        <f t="shared" si="8"/>
        <v>87.300000000000011</v>
      </c>
      <c r="H84" s="8">
        <f>100</f>
        <v>100</v>
      </c>
    </row>
    <row r="85" spans="2:8" x14ac:dyDescent="0.25">
      <c r="B85" s="7">
        <f>Data_Trade!B85</f>
        <v>1776</v>
      </c>
      <c r="C85" s="8">
        <f>Data_Trade!C85</f>
        <v>91.6</v>
      </c>
      <c r="D85" s="8">
        <f>Data_Trade!D85</f>
        <v>181.5</v>
      </c>
      <c r="E85" s="8">
        <f t="shared" si="6"/>
        <v>91.6</v>
      </c>
      <c r="F85" s="8">
        <f t="shared" si="7"/>
        <v>0</v>
      </c>
      <c r="G85" s="8">
        <f t="shared" si="8"/>
        <v>89.9</v>
      </c>
      <c r="H85" s="8">
        <f>100</f>
        <v>100</v>
      </c>
    </row>
    <row r="86" spans="2:8" x14ac:dyDescent="0.25">
      <c r="B86" s="7">
        <f>Data_Trade!B86</f>
        <v>1777</v>
      </c>
      <c r="C86" s="8">
        <f>Data_Trade!C86</f>
        <v>92</v>
      </c>
      <c r="D86" s="8">
        <f>Data_Trade!D86</f>
        <v>183.4</v>
      </c>
      <c r="E86" s="8">
        <f t="shared" si="6"/>
        <v>92</v>
      </c>
      <c r="F86" s="8">
        <f t="shared" si="7"/>
        <v>0</v>
      </c>
      <c r="G86" s="8">
        <f t="shared" si="8"/>
        <v>91.4</v>
      </c>
      <c r="H86" s="8">
        <f>100</f>
        <v>100</v>
      </c>
    </row>
    <row r="87" spans="2:8" x14ac:dyDescent="0.25">
      <c r="B87" s="7">
        <f>Data_Trade!B87</f>
        <v>1778</v>
      </c>
      <c r="C87" s="8">
        <f>Data_Trade!C87</f>
        <v>92</v>
      </c>
      <c r="D87" s="8">
        <f>Data_Trade!D87</f>
        <v>184.8</v>
      </c>
      <c r="E87" s="8">
        <f t="shared" si="6"/>
        <v>92</v>
      </c>
      <c r="F87" s="8">
        <f t="shared" si="7"/>
        <v>0</v>
      </c>
      <c r="G87" s="8">
        <f t="shared" si="8"/>
        <v>92.800000000000011</v>
      </c>
      <c r="H87" s="8">
        <f>100</f>
        <v>100</v>
      </c>
    </row>
    <row r="88" spans="2:8" x14ac:dyDescent="0.25">
      <c r="B88" s="7">
        <f>Data_Trade!B88</f>
        <v>1779</v>
      </c>
      <c r="C88" s="8">
        <f>Data_Trade!C88</f>
        <v>92.3</v>
      </c>
      <c r="D88" s="8">
        <f>Data_Trade!D88</f>
        <v>186</v>
      </c>
      <c r="E88" s="8">
        <f t="shared" si="6"/>
        <v>92.3</v>
      </c>
      <c r="F88" s="8">
        <f t="shared" si="7"/>
        <v>0</v>
      </c>
      <c r="G88" s="8">
        <f t="shared" si="8"/>
        <v>93.7</v>
      </c>
      <c r="H88" s="8">
        <f>100</f>
        <v>100</v>
      </c>
    </row>
    <row r="89" spans="2:8" x14ac:dyDescent="0.25">
      <c r="B89" s="7">
        <f>Data_Trade!B89</f>
        <v>1780</v>
      </c>
      <c r="C89" s="8">
        <f>Data_Trade!C89</f>
        <v>92.7</v>
      </c>
      <c r="D89" s="8">
        <f>Data_Trade!D89</f>
        <v>186.7</v>
      </c>
      <c r="E89" s="8">
        <f t="shared" si="6"/>
        <v>92.7</v>
      </c>
      <c r="F89" s="8">
        <f t="shared" si="7"/>
        <v>0</v>
      </c>
      <c r="G89" s="8">
        <f t="shared" si="8"/>
        <v>93.999999999999986</v>
      </c>
      <c r="H89" s="8">
        <f>100</f>
        <v>100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89"/>
  <sheetViews>
    <sheetView showGridLines="0" workbookViewId="0"/>
  </sheetViews>
  <sheetFormatPr defaultRowHeight="15" x14ac:dyDescent="0.25"/>
  <cols>
    <col min="2" max="7" width="11" customWidth="1"/>
    <col min="9" max="11" width="12" customWidth="1"/>
  </cols>
  <sheetData>
    <row r="2" spans="2:11" ht="21" x14ac:dyDescent="0.35">
      <c r="B2" s="1" t="s">
        <v>11</v>
      </c>
    </row>
    <row r="3" spans="2:11" x14ac:dyDescent="0.25">
      <c r="B3" s="2" t="s">
        <v>12</v>
      </c>
    </row>
    <row r="5" spans="2:11" x14ac:dyDescent="0.25">
      <c r="B5" s="3" t="s">
        <v>2</v>
      </c>
    </row>
    <row r="6" spans="2:11" x14ac:dyDescent="0.25">
      <c r="B6" s="4" t="s">
        <v>13</v>
      </c>
    </row>
    <row r="8" spans="2:11" x14ac:dyDescent="0.25">
      <c r="B8" s="5" t="s">
        <v>4</v>
      </c>
      <c r="C8" s="6" t="s">
        <v>14</v>
      </c>
      <c r="D8" s="6" t="s">
        <v>15</v>
      </c>
    </row>
    <row r="9" spans="2:11" x14ac:dyDescent="0.25">
      <c r="B9" s="7">
        <f>Data_Trade!B9</f>
        <v>1700</v>
      </c>
      <c r="C9" s="8">
        <f>Data_Trade!C9</f>
        <v>71.900000000000006</v>
      </c>
      <c r="D9" s="8">
        <f>Data_Trade!D9</f>
        <v>33.5</v>
      </c>
      <c r="I9" s="10" t="s">
        <v>16</v>
      </c>
      <c r="J9" s="11">
        <v>56</v>
      </c>
      <c r="K9" s="11">
        <v>0</v>
      </c>
    </row>
    <row r="10" spans="2:11" x14ac:dyDescent="0.25">
      <c r="B10" s="7">
        <f>Data_Trade!B10</f>
        <v>1701</v>
      </c>
      <c r="C10" s="8">
        <f>Data_Trade!C10</f>
        <v>72.099999999999994</v>
      </c>
      <c r="D10" s="8">
        <f>Data_Trade!D10</f>
        <v>35.299999999999997</v>
      </c>
      <c r="J10" s="11">
        <v>56</v>
      </c>
      <c r="K10" s="11">
        <v>0.88</v>
      </c>
    </row>
    <row r="11" spans="2:11" x14ac:dyDescent="0.25">
      <c r="B11" s="7">
        <f>Data_Trade!B11</f>
        <v>1702</v>
      </c>
      <c r="C11" s="8">
        <f>Data_Trade!C11</f>
        <v>72.7</v>
      </c>
      <c r="D11" s="8">
        <f>Data_Trade!D11</f>
        <v>37.799999999999997</v>
      </c>
    </row>
    <row r="12" spans="2:11" x14ac:dyDescent="0.25">
      <c r="B12" s="7">
        <f>Data_Trade!B12</f>
        <v>1703</v>
      </c>
      <c r="C12" s="8">
        <f>Data_Trade!C12</f>
        <v>74.099999999999994</v>
      </c>
      <c r="D12" s="8">
        <f>Data_Trade!D12</f>
        <v>39.6</v>
      </c>
    </row>
    <row r="13" spans="2:11" x14ac:dyDescent="0.25">
      <c r="B13" s="7">
        <f>Data_Trade!B13</f>
        <v>1704</v>
      </c>
      <c r="C13" s="8">
        <f>Data_Trade!C13</f>
        <v>75.2</v>
      </c>
      <c r="D13" s="8">
        <f>Data_Trade!D13</f>
        <v>40.9</v>
      </c>
    </row>
    <row r="14" spans="2:11" x14ac:dyDescent="0.25">
      <c r="B14" s="7">
        <f>Data_Trade!B14</f>
        <v>1705</v>
      </c>
      <c r="C14" s="8">
        <f>Data_Trade!C14</f>
        <v>76.099999999999994</v>
      </c>
      <c r="D14" s="8">
        <f>Data_Trade!D14</f>
        <v>41.5</v>
      </c>
    </row>
    <row r="15" spans="2:11" x14ac:dyDescent="0.25">
      <c r="B15" s="7">
        <f>Data_Trade!B15</f>
        <v>1706</v>
      </c>
      <c r="C15" s="8">
        <f>Data_Trade!C15</f>
        <v>77</v>
      </c>
      <c r="D15" s="8">
        <f>Data_Trade!D15</f>
        <v>43.5</v>
      </c>
    </row>
    <row r="16" spans="2:11" x14ac:dyDescent="0.25">
      <c r="B16" s="7">
        <f>Data_Trade!B16</f>
        <v>1707</v>
      </c>
      <c r="C16" s="8">
        <f>Data_Trade!C16</f>
        <v>78.3</v>
      </c>
      <c r="D16" s="8">
        <f>Data_Trade!D16</f>
        <v>46.6</v>
      </c>
    </row>
    <row r="17" spans="2:13" x14ac:dyDescent="0.25">
      <c r="B17" s="7">
        <f>Data_Trade!B17</f>
        <v>1708</v>
      </c>
      <c r="C17" s="8">
        <f>Data_Trade!C17</f>
        <v>79.599999999999994</v>
      </c>
      <c r="D17" s="8">
        <f>Data_Trade!D17</f>
        <v>50.2</v>
      </c>
    </row>
    <row r="18" spans="2:13" x14ac:dyDescent="0.25">
      <c r="B18" s="7">
        <f>Data_Trade!B18</f>
        <v>1709</v>
      </c>
      <c r="C18" s="8">
        <f>Data_Trade!C18</f>
        <v>81.599999999999994</v>
      </c>
      <c r="D18" s="8">
        <f>Data_Trade!D18</f>
        <v>54.7</v>
      </c>
    </row>
    <row r="19" spans="2:13" x14ac:dyDescent="0.25">
      <c r="B19" s="7">
        <f>Data_Trade!B19</f>
        <v>1710</v>
      </c>
      <c r="C19" s="8">
        <f>Data_Trade!C19</f>
        <v>82.9</v>
      </c>
      <c r="D19" s="8">
        <f>Data_Trade!D19</f>
        <v>59.2</v>
      </c>
    </row>
    <row r="20" spans="2:13" x14ac:dyDescent="0.25">
      <c r="B20" s="7">
        <f>Data_Trade!B20</f>
        <v>1711</v>
      </c>
      <c r="C20" s="8">
        <f>Data_Trade!C20</f>
        <v>84</v>
      </c>
      <c r="D20" s="8">
        <f>Data_Trade!D20</f>
        <v>64</v>
      </c>
    </row>
    <row r="21" spans="2:13" x14ac:dyDescent="0.25">
      <c r="B21" s="7">
        <f>Data_Trade!B21</f>
        <v>1712</v>
      </c>
      <c r="C21" s="8">
        <f>Data_Trade!C21</f>
        <v>85</v>
      </c>
      <c r="D21" s="8">
        <f>Data_Trade!D21</f>
        <v>69.2</v>
      </c>
    </row>
    <row r="22" spans="2:13" x14ac:dyDescent="0.25">
      <c r="B22" s="7">
        <f>Data_Trade!B22</f>
        <v>1713</v>
      </c>
      <c r="C22" s="8">
        <f>Data_Trade!C22</f>
        <v>85.9</v>
      </c>
      <c r="D22" s="8">
        <f>Data_Trade!D22</f>
        <v>72.7</v>
      </c>
    </row>
    <row r="23" spans="2:13" x14ac:dyDescent="0.25">
      <c r="B23" s="7">
        <f>Data_Trade!B23</f>
        <v>1714</v>
      </c>
      <c r="C23" s="8">
        <f>Data_Trade!C23</f>
        <v>87.1</v>
      </c>
      <c r="D23" s="8">
        <f>Data_Trade!D23</f>
        <v>75.7</v>
      </c>
    </row>
    <row r="24" spans="2:13" x14ac:dyDescent="0.25">
      <c r="B24" s="7">
        <f>Data_Trade!B24</f>
        <v>1715</v>
      </c>
      <c r="C24" s="8">
        <f>Data_Trade!C24</f>
        <v>87.8</v>
      </c>
      <c r="D24" s="8">
        <f>Data_Trade!D24</f>
        <v>77.5</v>
      </c>
    </row>
    <row r="25" spans="2:13" x14ac:dyDescent="0.25">
      <c r="B25" s="7">
        <f>Data_Trade!B25</f>
        <v>1716</v>
      </c>
      <c r="C25" s="8">
        <f>Data_Trade!C25</f>
        <v>89</v>
      </c>
      <c r="D25" s="8">
        <f>Data_Trade!D25</f>
        <v>78.400000000000006</v>
      </c>
    </row>
    <row r="26" spans="2:13" x14ac:dyDescent="0.25">
      <c r="B26" s="7">
        <f>Data_Trade!B26</f>
        <v>1717</v>
      </c>
      <c r="C26" s="8">
        <f>Data_Trade!C26</f>
        <v>90.2</v>
      </c>
      <c r="D26" s="8">
        <f>Data_Trade!D26</f>
        <v>78.2</v>
      </c>
      <c r="M26" s="3" t="s">
        <v>2</v>
      </c>
    </row>
    <row r="27" spans="2:13" x14ac:dyDescent="0.25">
      <c r="B27" s="7">
        <f>Data_Trade!B27</f>
        <v>1718</v>
      </c>
      <c r="C27" s="8">
        <f>Data_Trade!C27</f>
        <v>92.1</v>
      </c>
      <c r="D27" s="8">
        <f>Data_Trade!D27</f>
        <v>77.5</v>
      </c>
    </row>
    <row r="28" spans="2:13" x14ac:dyDescent="0.25">
      <c r="B28" s="7">
        <f>Data_Trade!B28</f>
        <v>1719</v>
      </c>
      <c r="C28" s="8">
        <f>Data_Trade!C28</f>
        <v>95</v>
      </c>
      <c r="D28" s="8">
        <f>Data_Trade!D28</f>
        <v>77.099999999999994</v>
      </c>
    </row>
    <row r="29" spans="2:13" x14ac:dyDescent="0.25">
      <c r="B29" s="7">
        <f>Data_Trade!B29</f>
        <v>1720</v>
      </c>
      <c r="C29" s="8">
        <f>Data_Trade!C29</f>
        <v>97.9</v>
      </c>
      <c r="D29" s="8">
        <f>Data_Trade!D29</f>
        <v>76.7</v>
      </c>
    </row>
    <row r="30" spans="2:13" x14ac:dyDescent="0.25">
      <c r="B30" s="7">
        <f>Data_Trade!B30</f>
        <v>1721</v>
      </c>
      <c r="C30" s="8">
        <f>Data_Trade!C30</f>
        <v>100</v>
      </c>
      <c r="D30" s="8">
        <f>Data_Trade!D30</f>
        <v>76</v>
      </c>
    </row>
    <row r="31" spans="2:13" x14ac:dyDescent="0.25">
      <c r="B31" s="7">
        <f>Data_Trade!B31</f>
        <v>1722</v>
      </c>
      <c r="C31" s="8">
        <f>Data_Trade!C31</f>
        <v>101.4</v>
      </c>
      <c r="D31" s="8">
        <f>Data_Trade!D31</f>
        <v>75.3</v>
      </c>
    </row>
    <row r="32" spans="2:13" x14ac:dyDescent="0.25">
      <c r="B32" s="7">
        <f>Data_Trade!B32</f>
        <v>1723</v>
      </c>
      <c r="C32" s="8">
        <f>Data_Trade!C32</f>
        <v>102.7</v>
      </c>
      <c r="D32" s="8">
        <f>Data_Trade!D32</f>
        <v>74.7</v>
      </c>
    </row>
    <row r="33" spans="2:4" x14ac:dyDescent="0.25">
      <c r="B33" s="7">
        <f>Data_Trade!B33</f>
        <v>1724</v>
      </c>
      <c r="C33" s="8">
        <f>Data_Trade!C33</f>
        <v>102.8</v>
      </c>
      <c r="D33" s="8">
        <f>Data_Trade!D33</f>
        <v>73.8</v>
      </c>
    </row>
    <row r="34" spans="2:4" x14ac:dyDescent="0.25">
      <c r="B34" s="7">
        <f>Data_Trade!B34</f>
        <v>1725</v>
      </c>
      <c r="C34" s="8">
        <f>Data_Trade!C34</f>
        <v>102</v>
      </c>
      <c r="D34" s="8">
        <f>Data_Trade!D34</f>
        <v>73.099999999999994</v>
      </c>
    </row>
    <row r="35" spans="2:4" x14ac:dyDescent="0.25">
      <c r="B35" s="7">
        <f>Data_Trade!B35</f>
        <v>1726</v>
      </c>
      <c r="C35" s="8">
        <f>Data_Trade!C35</f>
        <v>102.8</v>
      </c>
      <c r="D35" s="8">
        <f>Data_Trade!D35</f>
        <v>72.099999999999994</v>
      </c>
    </row>
    <row r="36" spans="2:4" x14ac:dyDescent="0.25">
      <c r="B36" s="7">
        <f>Data_Trade!B36</f>
        <v>1727</v>
      </c>
      <c r="C36" s="8">
        <f>Data_Trade!C36</f>
        <v>101.9</v>
      </c>
      <c r="D36" s="8">
        <f>Data_Trade!D36</f>
        <v>70.599999999999994</v>
      </c>
    </row>
    <row r="37" spans="2:4" x14ac:dyDescent="0.25">
      <c r="B37" s="7">
        <f>Data_Trade!B37</f>
        <v>1728</v>
      </c>
      <c r="C37" s="8">
        <f>Data_Trade!C37</f>
        <v>101</v>
      </c>
      <c r="D37" s="8">
        <f>Data_Trade!D37</f>
        <v>68.900000000000006</v>
      </c>
    </row>
    <row r="38" spans="2:4" x14ac:dyDescent="0.25">
      <c r="B38" s="7">
        <f>Data_Trade!B38</f>
        <v>1729</v>
      </c>
      <c r="C38" s="8">
        <f>Data_Trade!C38</f>
        <v>100.1</v>
      </c>
      <c r="D38" s="8">
        <f>Data_Trade!D38</f>
        <v>67.400000000000006</v>
      </c>
    </row>
    <row r="39" spans="2:4" x14ac:dyDescent="0.25">
      <c r="B39" s="7">
        <f>Data_Trade!B39</f>
        <v>1730</v>
      </c>
      <c r="C39" s="8">
        <f>Data_Trade!C39</f>
        <v>97.8</v>
      </c>
      <c r="D39" s="8">
        <f>Data_Trade!D39</f>
        <v>65</v>
      </c>
    </row>
    <row r="40" spans="2:4" x14ac:dyDescent="0.25">
      <c r="B40" s="7">
        <f>Data_Trade!B40</f>
        <v>1731</v>
      </c>
      <c r="C40" s="8">
        <f>Data_Trade!C40</f>
        <v>96.7</v>
      </c>
      <c r="D40" s="8">
        <f>Data_Trade!D40</f>
        <v>63.5</v>
      </c>
    </row>
    <row r="41" spans="2:4" x14ac:dyDescent="0.25">
      <c r="B41" s="7">
        <f>Data_Trade!B41</f>
        <v>1732</v>
      </c>
      <c r="C41" s="8">
        <f>Data_Trade!C41</f>
        <v>95.2</v>
      </c>
      <c r="D41" s="8">
        <f>Data_Trade!D41</f>
        <v>62.4</v>
      </c>
    </row>
    <row r="42" spans="2:4" x14ac:dyDescent="0.25">
      <c r="B42" s="7">
        <f>Data_Trade!B42</f>
        <v>1733</v>
      </c>
      <c r="C42" s="8">
        <f>Data_Trade!C42</f>
        <v>94.3</v>
      </c>
      <c r="D42" s="8">
        <f>Data_Trade!D42</f>
        <v>61.5</v>
      </c>
    </row>
    <row r="43" spans="2:4" x14ac:dyDescent="0.25">
      <c r="B43" s="7">
        <f>Data_Trade!B43</f>
        <v>1734</v>
      </c>
      <c r="C43" s="8">
        <f>Data_Trade!C43</f>
        <v>94</v>
      </c>
      <c r="D43" s="8">
        <f>Data_Trade!D43</f>
        <v>61.4</v>
      </c>
    </row>
    <row r="44" spans="2:4" x14ac:dyDescent="0.25">
      <c r="B44" s="7">
        <f>Data_Trade!B44</f>
        <v>1735</v>
      </c>
      <c r="C44" s="8">
        <f>Data_Trade!C44</f>
        <v>93.4</v>
      </c>
      <c r="D44" s="8">
        <f>Data_Trade!D44</f>
        <v>61.4</v>
      </c>
    </row>
    <row r="45" spans="2:4" x14ac:dyDescent="0.25">
      <c r="B45" s="7">
        <f>Data_Trade!B45</f>
        <v>1736</v>
      </c>
      <c r="C45" s="8">
        <f>Data_Trade!C45</f>
        <v>93.6</v>
      </c>
      <c r="D45" s="8">
        <f>Data_Trade!D45</f>
        <v>61.3</v>
      </c>
    </row>
    <row r="46" spans="2:4" x14ac:dyDescent="0.25">
      <c r="B46" s="7">
        <f>Data_Trade!B46</f>
        <v>1737</v>
      </c>
      <c r="C46" s="8">
        <f>Data_Trade!C46</f>
        <v>93.5</v>
      </c>
      <c r="D46" s="8">
        <f>Data_Trade!D46</f>
        <v>62</v>
      </c>
    </row>
    <row r="47" spans="2:4" x14ac:dyDescent="0.25">
      <c r="B47" s="7">
        <f>Data_Trade!B47</f>
        <v>1738</v>
      </c>
      <c r="C47" s="8">
        <f>Data_Trade!C47</f>
        <v>93.4</v>
      </c>
      <c r="D47" s="8">
        <f>Data_Trade!D47</f>
        <v>63</v>
      </c>
    </row>
    <row r="48" spans="2:4" x14ac:dyDescent="0.25">
      <c r="B48" s="7">
        <f>Data_Trade!B48</f>
        <v>1739</v>
      </c>
      <c r="C48" s="8">
        <f>Data_Trade!C48</f>
        <v>93.5</v>
      </c>
      <c r="D48" s="8">
        <f>Data_Trade!D48</f>
        <v>64.3</v>
      </c>
    </row>
    <row r="49" spans="2:4" x14ac:dyDescent="0.25">
      <c r="B49" s="7">
        <f>Data_Trade!B49</f>
        <v>1740</v>
      </c>
      <c r="C49" s="8">
        <f>Data_Trade!C49</f>
        <v>93.5</v>
      </c>
      <c r="D49" s="8">
        <f>Data_Trade!D49</f>
        <v>66</v>
      </c>
    </row>
    <row r="50" spans="2:4" x14ac:dyDescent="0.25">
      <c r="B50" s="7">
        <f>Data_Trade!B50</f>
        <v>1741</v>
      </c>
      <c r="C50" s="8">
        <f>Data_Trade!C50</f>
        <v>93.7</v>
      </c>
      <c r="D50" s="8">
        <f>Data_Trade!D50</f>
        <v>68</v>
      </c>
    </row>
    <row r="51" spans="2:4" x14ac:dyDescent="0.25">
      <c r="B51" s="7">
        <f>Data_Trade!B51</f>
        <v>1742</v>
      </c>
      <c r="C51" s="8">
        <f>Data_Trade!C51</f>
        <v>93.9</v>
      </c>
      <c r="D51" s="8">
        <f>Data_Trade!D51</f>
        <v>70.2</v>
      </c>
    </row>
    <row r="52" spans="2:4" x14ac:dyDescent="0.25">
      <c r="B52" s="7">
        <f>Data_Trade!B52</f>
        <v>1743</v>
      </c>
      <c r="C52" s="8">
        <f>Data_Trade!C52</f>
        <v>93.5</v>
      </c>
      <c r="D52" s="8">
        <f>Data_Trade!D52</f>
        <v>72.5</v>
      </c>
    </row>
    <row r="53" spans="2:4" x14ac:dyDescent="0.25">
      <c r="B53" s="7">
        <f>Data_Trade!B53</f>
        <v>1744</v>
      </c>
      <c r="C53" s="8">
        <f>Data_Trade!C53</f>
        <v>93.3</v>
      </c>
      <c r="D53" s="8">
        <f>Data_Trade!D53</f>
        <v>73.900000000000006</v>
      </c>
    </row>
    <row r="54" spans="2:4" x14ac:dyDescent="0.25">
      <c r="B54" s="7">
        <f>Data_Trade!B54</f>
        <v>1745</v>
      </c>
      <c r="C54" s="8">
        <f>Data_Trade!C54</f>
        <v>93</v>
      </c>
      <c r="D54" s="8">
        <f>Data_Trade!D54</f>
        <v>74.7</v>
      </c>
    </row>
    <row r="55" spans="2:4" x14ac:dyDescent="0.25">
      <c r="B55" s="7">
        <f>Data_Trade!B55</f>
        <v>1746</v>
      </c>
      <c r="C55" s="8">
        <f>Data_Trade!C55</f>
        <v>92.3</v>
      </c>
      <c r="D55" s="8">
        <f>Data_Trade!D55</f>
        <v>75.3</v>
      </c>
    </row>
    <row r="56" spans="2:4" x14ac:dyDescent="0.25">
      <c r="B56" s="7">
        <f>Data_Trade!B56</f>
        <v>1747</v>
      </c>
      <c r="C56" s="8">
        <f>Data_Trade!C56</f>
        <v>92.5</v>
      </c>
      <c r="D56" s="8">
        <f>Data_Trade!D56</f>
        <v>75.900000000000006</v>
      </c>
    </row>
    <row r="57" spans="2:4" x14ac:dyDescent="0.25">
      <c r="B57" s="7">
        <f>Data_Trade!B57</f>
        <v>1748</v>
      </c>
      <c r="C57" s="8">
        <f>Data_Trade!C57</f>
        <v>92.1</v>
      </c>
      <c r="D57" s="8">
        <f>Data_Trade!D57</f>
        <v>76.3</v>
      </c>
    </row>
    <row r="58" spans="2:4" x14ac:dyDescent="0.25">
      <c r="B58" s="7">
        <f>Data_Trade!B58</f>
        <v>1749</v>
      </c>
      <c r="C58" s="8">
        <f>Data_Trade!C58</f>
        <v>91.5</v>
      </c>
      <c r="D58" s="8">
        <f>Data_Trade!D58</f>
        <v>77.2</v>
      </c>
    </row>
    <row r="59" spans="2:4" x14ac:dyDescent="0.25">
      <c r="B59" s="7">
        <f>Data_Trade!B59</f>
        <v>1750</v>
      </c>
      <c r="C59" s="8">
        <f>Data_Trade!C59</f>
        <v>90.9</v>
      </c>
      <c r="D59" s="8">
        <f>Data_Trade!D59</f>
        <v>78.2</v>
      </c>
    </row>
    <row r="60" spans="2:4" x14ac:dyDescent="0.25">
      <c r="B60" s="7">
        <f>Data_Trade!B60</f>
        <v>1751</v>
      </c>
      <c r="C60" s="8">
        <f>Data_Trade!C60</f>
        <v>90</v>
      </c>
      <c r="D60" s="8">
        <f>Data_Trade!D60</f>
        <v>79.2</v>
      </c>
    </row>
    <row r="61" spans="2:4" x14ac:dyDescent="0.25">
      <c r="B61" s="7">
        <f>Data_Trade!B61</f>
        <v>1752</v>
      </c>
      <c r="C61" s="8">
        <f>Data_Trade!C61</f>
        <v>87.9</v>
      </c>
      <c r="D61" s="8">
        <f>Data_Trade!D61</f>
        <v>80.099999999999994</v>
      </c>
    </row>
    <row r="62" spans="2:4" x14ac:dyDescent="0.25">
      <c r="B62" s="7">
        <f>Data_Trade!B62</f>
        <v>1753</v>
      </c>
      <c r="C62" s="8">
        <f>Data_Trade!C62</f>
        <v>84.8</v>
      </c>
      <c r="D62" s="8">
        <f>Data_Trade!D62</f>
        <v>80.7</v>
      </c>
    </row>
    <row r="63" spans="2:4" x14ac:dyDescent="0.25">
      <c r="B63" s="7">
        <f>Data_Trade!B63</f>
        <v>1754</v>
      </c>
      <c r="C63" s="8">
        <f>Data_Trade!C63</f>
        <v>82.9</v>
      </c>
      <c r="D63" s="8">
        <f>Data_Trade!D63</f>
        <v>81.3</v>
      </c>
    </row>
    <row r="64" spans="2:4" x14ac:dyDescent="0.25">
      <c r="B64" s="7">
        <f>Data_Trade!B64</f>
        <v>1755</v>
      </c>
      <c r="C64" s="8">
        <f>Data_Trade!C64</f>
        <v>79.8</v>
      </c>
      <c r="D64" s="8">
        <f>Data_Trade!D64</f>
        <v>84</v>
      </c>
    </row>
    <row r="65" spans="2:4" x14ac:dyDescent="0.25">
      <c r="B65" s="7">
        <f>Data_Trade!B65</f>
        <v>1756</v>
      </c>
      <c r="C65" s="8">
        <f>Data_Trade!C65</f>
        <v>78.400000000000006</v>
      </c>
      <c r="D65" s="8">
        <f>Data_Trade!D65</f>
        <v>86.8</v>
      </c>
    </row>
    <row r="66" spans="2:4" x14ac:dyDescent="0.25">
      <c r="B66" s="7">
        <f>Data_Trade!B66</f>
        <v>1757</v>
      </c>
      <c r="C66" s="8">
        <f>Data_Trade!C66</f>
        <v>78</v>
      </c>
      <c r="D66" s="8">
        <f>Data_Trade!D66</f>
        <v>92.1</v>
      </c>
    </row>
    <row r="67" spans="2:4" x14ac:dyDescent="0.25">
      <c r="B67" s="7">
        <f>Data_Trade!B67</f>
        <v>1758</v>
      </c>
      <c r="C67" s="8">
        <f>Data_Trade!C67</f>
        <v>77.5</v>
      </c>
      <c r="D67" s="8">
        <f>Data_Trade!D67</f>
        <v>97.9</v>
      </c>
    </row>
    <row r="68" spans="2:4" x14ac:dyDescent="0.25">
      <c r="B68" s="7">
        <f>Data_Trade!B68</f>
        <v>1759</v>
      </c>
      <c r="C68" s="8">
        <f>Data_Trade!C68</f>
        <v>77.400000000000006</v>
      </c>
      <c r="D68" s="8">
        <f>Data_Trade!D68</f>
        <v>105.4</v>
      </c>
    </row>
    <row r="69" spans="2:4" x14ac:dyDescent="0.25">
      <c r="B69" s="7">
        <f>Data_Trade!B69</f>
        <v>1760</v>
      </c>
      <c r="C69" s="8">
        <f>Data_Trade!C69</f>
        <v>77.400000000000006</v>
      </c>
      <c r="D69" s="8">
        <f>Data_Trade!D69</f>
        <v>119.3</v>
      </c>
    </row>
    <row r="70" spans="2:4" x14ac:dyDescent="0.25">
      <c r="B70" s="7">
        <f>Data_Trade!B70</f>
        <v>1761</v>
      </c>
      <c r="C70" s="8">
        <f>Data_Trade!C70</f>
        <v>77.599999999999994</v>
      </c>
      <c r="D70" s="8">
        <f>Data_Trade!D70</f>
        <v>127.9</v>
      </c>
    </row>
    <row r="71" spans="2:4" x14ac:dyDescent="0.25">
      <c r="B71" s="7">
        <f>Data_Trade!B71</f>
        <v>1762</v>
      </c>
      <c r="C71" s="8">
        <f>Data_Trade!C71</f>
        <v>78</v>
      </c>
      <c r="D71" s="8">
        <f>Data_Trade!D71</f>
        <v>135.6</v>
      </c>
    </row>
    <row r="72" spans="2:4" x14ac:dyDescent="0.25">
      <c r="B72" s="7">
        <f>Data_Trade!B72</f>
        <v>1763</v>
      </c>
      <c r="C72" s="8">
        <f>Data_Trade!C72</f>
        <v>78.2</v>
      </c>
      <c r="D72" s="8">
        <f>Data_Trade!D72</f>
        <v>142.6</v>
      </c>
    </row>
    <row r="73" spans="2:4" x14ac:dyDescent="0.25">
      <c r="B73" s="7">
        <f>Data_Trade!B73</f>
        <v>1764</v>
      </c>
      <c r="C73" s="8">
        <f>Data_Trade!C73</f>
        <v>78.7</v>
      </c>
      <c r="D73" s="8">
        <f>Data_Trade!D73</f>
        <v>146.5</v>
      </c>
    </row>
    <row r="74" spans="2:4" x14ac:dyDescent="0.25">
      <c r="B74" s="7">
        <f>Data_Trade!B74</f>
        <v>1765</v>
      </c>
      <c r="C74" s="8">
        <f>Data_Trade!C74</f>
        <v>79.3</v>
      </c>
      <c r="D74" s="8">
        <f>Data_Trade!D74</f>
        <v>150.69999999999999</v>
      </c>
    </row>
    <row r="75" spans="2:4" x14ac:dyDescent="0.25">
      <c r="B75" s="7">
        <f>Data_Trade!B75</f>
        <v>1766</v>
      </c>
      <c r="C75" s="8">
        <f>Data_Trade!C75</f>
        <v>80.2</v>
      </c>
      <c r="D75" s="8">
        <f>Data_Trade!D75</f>
        <v>152.80000000000001</v>
      </c>
    </row>
    <row r="76" spans="2:4" x14ac:dyDescent="0.25">
      <c r="B76" s="7">
        <f>Data_Trade!B76</f>
        <v>1767</v>
      </c>
      <c r="C76" s="8">
        <f>Data_Trade!C76</f>
        <v>81.2</v>
      </c>
      <c r="D76" s="8">
        <f>Data_Trade!D76</f>
        <v>156</v>
      </c>
    </row>
    <row r="77" spans="2:4" x14ac:dyDescent="0.25">
      <c r="B77" s="7">
        <f>Data_Trade!B77</f>
        <v>1768</v>
      </c>
      <c r="C77" s="8">
        <f>Data_Trade!C77</f>
        <v>82</v>
      </c>
      <c r="D77" s="8">
        <f>Data_Trade!D77</f>
        <v>159.30000000000001</v>
      </c>
    </row>
    <row r="78" spans="2:4" x14ac:dyDescent="0.25">
      <c r="B78" s="7">
        <f>Data_Trade!B78</f>
        <v>1769</v>
      </c>
      <c r="C78" s="8">
        <f>Data_Trade!C78</f>
        <v>82.9</v>
      </c>
      <c r="D78" s="8">
        <f>Data_Trade!D78</f>
        <v>162.1</v>
      </c>
    </row>
    <row r="79" spans="2:4" x14ac:dyDescent="0.25">
      <c r="B79" s="7">
        <f>Data_Trade!B79</f>
        <v>1770</v>
      </c>
      <c r="C79" s="8">
        <f>Data_Trade!C79</f>
        <v>84</v>
      </c>
      <c r="D79" s="8">
        <f>Data_Trade!D79</f>
        <v>164.2</v>
      </c>
    </row>
    <row r="80" spans="2:4" x14ac:dyDescent="0.25">
      <c r="B80" s="7">
        <f>Data_Trade!B80</f>
        <v>1771</v>
      </c>
      <c r="C80" s="8">
        <f>Data_Trade!C80</f>
        <v>85.9</v>
      </c>
      <c r="D80" s="8">
        <f>Data_Trade!D80</f>
        <v>166.6</v>
      </c>
    </row>
    <row r="81" spans="2:4" x14ac:dyDescent="0.25">
      <c r="B81" s="7">
        <f>Data_Trade!B81</f>
        <v>1772</v>
      </c>
      <c r="C81" s="8">
        <f>Data_Trade!C81</f>
        <v>87.3</v>
      </c>
      <c r="D81" s="8">
        <f>Data_Trade!D81</f>
        <v>169.2</v>
      </c>
    </row>
    <row r="82" spans="2:4" x14ac:dyDescent="0.25">
      <c r="B82" s="7">
        <f>Data_Trade!B82</f>
        <v>1773</v>
      </c>
      <c r="C82" s="8">
        <f>Data_Trade!C82</f>
        <v>89</v>
      </c>
      <c r="D82" s="8">
        <f>Data_Trade!D82</f>
        <v>172.5</v>
      </c>
    </row>
    <row r="83" spans="2:4" x14ac:dyDescent="0.25">
      <c r="B83" s="7">
        <f>Data_Trade!B83</f>
        <v>1774</v>
      </c>
      <c r="C83" s="8">
        <f>Data_Trade!C83</f>
        <v>90.6</v>
      </c>
      <c r="D83" s="8">
        <f>Data_Trade!D83</f>
        <v>175.8</v>
      </c>
    </row>
    <row r="84" spans="2:4" x14ac:dyDescent="0.25">
      <c r="B84" s="7">
        <f>Data_Trade!B84</f>
        <v>1775</v>
      </c>
      <c r="C84" s="8">
        <f>Data_Trade!C84</f>
        <v>91.5</v>
      </c>
      <c r="D84" s="8">
        <f>Data_Trade!D84</f>
        <v>178.8</v>
      </c>
    </row>
    <row r="85" spans="2:4" x14ac:dyDescent="0.25">
      <c r="B85" s="7">
        <f>Data_Trade!B85</f>
        <v>1776</v>
      </c>
      <c r="C85" s="8">
        <f>Data_Trade!C85</f>
        <v>91.6</v>
      </c>
      <c r="D85" s="8">
        <f>Data_Trade!D85</f>
        <v>181.5</v>
      </c>
    </row>
    <row r="86" spans="2:4" x14ac:dyDescent="0.25">
      <c r="B86" s="7">
        <f>Data_Trade!B86</f>
        <v>1777</v>
      </c>
      <c r="C86" s="8">
        <f>Data_Trade!C86</f>
        <v>92</v>
      </c>
      <c r="D86" s="8">
        <f>Data_Trade!D86</f>
        <v>183.4</v>
      </c>
    </row>
    <row r="87" spans="2:4" x14ac:dyDescent="0.25">
      <c r="B87" s="7">
        <f>Data_Trade!B87</f>
        <v>1778</v>
      </c>
      <c r="C87" s="8">
        <f>Data_Trade!C87</f>
        <v>92</v>
      </c>
      <c r="D87" s="8">
        <f>Data_Trade!D87</f>
        <v>184.8</v>
      </c>
    </row>
    <row r="88" spans="2:4" x14ac:dyDescent="0.25">
      <c r="B88" s="7">
        <f>Data_Trade!B88</f>
        <v>1779</v>
      </c>
      <c r="C88" s="8">
        <f>Data_Trade!C88</f>
        <v>92.3</v>
      </c>
      <c r="D88" s="8">
        <f>Data_Trade!D88</f>
        <v>186</v>
      </c>
    </row>
    <row r="89" spans="2:4" x14ac:dyDescent="0.25">
      <c r="B89" s="7">
        <f>Data_Trade!B89</f>
        <v>1780</v>
      </c>
      <c r="C89" s="8">
        <f>Data_Trade!C89</f>
        <v>92.7</v>
      </c>
      <c r="D89" s="8">
        <f>Data_Trade!D89</f>
        <v>186.7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89"/>
  <sheetViews>
    <sheetView showGridLines="0" workbookViewId="0"/>
  </sheetViews>
  <sheetFormatPr defaultRowHeight="15" x14ac:dyDescent="0.25"/>
  <cols>
    <col min="2" max="7" width="11" customWidth="1"/>
  </cols>
  <sheetData>
    <row r="2" spans="2:5" ht="21" x14ac:dyDescent="0.35">
      <c r="B2" s="1" t="s">
        <v>17</v>
      </c>
    </row>
    <row r="3" spans="2:5" x14ac:dyDescent="0.25">
      <c r="B3" s="2" t="s">
        <v>18</v>
      </c>
    </row>
    <row r="5" spans="2:5" x14ac:dyDescent="0.25">
      <c r="B5" s="3" t="s">
        <v>2</v>
      </c>
    </row>
    <row r="6" spans="2:5" x14ac:dyDescent="0.25">
      <c r="B6" s="4" t="s">
        <v>19</v>
      </c>
    </row>
    <row r="8" spans="2:5" x14ac:dyDescent="0.25">
      <c r="B8" s="5" t="s">
        <v>4</v>
      </c>
      <c r="C8" s="6" t="s">
        <v>14</v>
      </c>
      <c r="D8" s="6" t="s">
        <v>15</v>
      </c>
      <c r="E8" s="6" t="s">
        <v>20</v>
      </c>
    </row>
    <row r="9" spans="2:5" x14ac:dyDescent="0.25">
      <c r="B9" s="7">
        <f>Data_Trade!B9</f>
        <v>1700</v>
      </c>
      <c r="C9" s="8">
        <f>Data_Trade!C9</f>
        <v>71.900000000000006</v>
      </c>
      <c r="D9" s="8">
        <f>Data_Trade!D9</f>
        <v>33.5</v>
      </c>
      <c r="E9" s="8">
        <f t="shared" ref="E9:E40" si="0">D9-C9</f>
        <v>-38.400000000000006</v>
      </c>
    </row>
    <row r="10" spans="2:5" x14ac:dyDescent="0.25">
      <c r="B10" s="7">
        <f>Data_Trade!B10</f>
        <v>1701</v>
      </c>
      <c r="C10" s="8">
        <f>Data_Trade!C10</f>
        <v>72.099999999999994</v>
      </c>
      <c r="D10" s="8">
        <f>Data_Trade!D10</f>
        <v>35.299999999999997</v>
      </c>
      <c r="E10" s="8">
        <f t="shared" si="0"/>
        <v>-36.799999999999997</v>
      </c>
    </row>
    <row r="11" spans="2:5" x14ac:dyDescent="0.25">
      <c r="B11" s="7">
        <f>Data_Trade!B11</f>
        <v>1702</v>
      </c>
      <c r="C11" s="8">
        <f>Data_Trade!C11</f>
        <v>72.7</v>
      </c>
      <c r="D11" s="8">
        <f>Data_Trade!D11</f>
        <v>37.799999999999997</v>
      </c>
      <c r="E11" s="8">
        <f t="shared" si="0"/>
        <v>-34.900000000000006</v>
      </c>
    </row>
    <row r="12" spans="2:5" x14ac:dyDescent="0.25">
      <c r="B12" s="7">
        <f>Data_Trade!B12</f>
        <v>1703</v>
      </c>
      <c r="C12" s="8">
        <f>Data_Trade!C12</f>
        <v>74.099999999999994</v>
      </c>
      <c r="D12" s="8">
        <f>Data_Trade!D12</f>
        <v>39.6</v>
      </c>
      <c r="E12" s="8">
        <f t="shared" si="0"/>
        <v>-34.499999999999993</v>
      </c>
    </row>
    <row r="13" spans="2:5" x14ac:dyDescent="0.25">
      <c r="B13" s="7">
        <f>Data_Trade!B13</f>
        <v>1704</v>
      </c>
      <c r="C13" s="8">
        <f>Data_Trade!C13</f>
        <v>75.2</v>
      </c>
      <c r="D13" s="8">
        <f>Data_Trade!D13</f>
        <v>40.9</v>
      </c>
      <c r="E13" s="8">
        <f t="shared" si="0"/>
        <v>-34.300000000000004</v>
      </c>
    </row>
    <row r="14" spans="2:5" x14ac:dyDescent="0.25">
      <c r="B14" s="7">
        <f>Data_Trade!B14</f>
        <v>1705</v>
      </c>
      <c r="C14" s="8">
        <f>Data_Trade!C14</f>
        <v>76.099999999999994</v>
      </c>
      <c r="D14" s="8">
        <f>Data_Trade!D14</f>
        <v>41.5</v>
      </c>
      <c r="E14" s="8">
        <f t="shared" si="0"/>
        <v>-34.599999999999994</v>
      </c>
    </row>
    <row r="15" spans="2:5" x14ac:dyDescent="0.25">
      <c r="B15" s="7">
        <f>Data_Trade!B15</f>
        <v>1706</v>
      </c>
      <c r="C15" s="8">
        <f>Data_Trade!C15</f>
        <v>77</v>
      </c>
      <c r="D15" s="8">
        <f>Data_Trade!D15</f>
        <v>43.5</v>
      </c>
      <c r="E15" s="8">
        <f t="shared" si="0"/>
        <v>-33.5</v>
      </c>
    </row>
    <row r="16" spans="2:5" x14ac:dyDescent="0.25">
      <c r="B16" s="7">
        <f>Data_Trade!B16</f>
        <v>1707</v>
      </c>
      <c r="C16" s="8">
        <f>Data_Trade!C16</f>
        <v>78.3</v>
      </c>
      <c r="D16" s="8">
        <f>Data_Trade!D16</f>
        <v>46.6</v>
      </c>
      <c r="E16" s="8">
        <f t="shared" si="0"/>
        <v>-31.699999999999996</v>
      </c>
    </row>
    <row r="17" spans="2:8" x14ac:dyDescent="0.25">
      <c r="B17" s="7">
        <f>Data_Trade!B17</f>
        <v>1708</v>
      </c>
      <c r="C17" s="8">
        <f>Data_Trade!C17</f>
        <v>79.599999999999994</v>
      </c>
      <c r="D17" s="8">
        <f>Data_Trade!D17</f>
        <v>50.2</v>
      </c>
      <c r="E17" s="8">
        <f t="shared" si="0"/>
        <v>-29.399999999999991</v>
      </c>
    </row>
    <row r="18" spans="2:8" x14ac:dyDescent="0.25">
      <c r="B18" s="7">
        <f>Data_Trade!B18</f>
        <v>1709</v>
      </c>
      <c r="C18" s="8">
        <f>Data_Trade!C18</f>
        <v>81.599999999999994</v>
      </c>
      <c r="D18" s="8">
        <f>Data_Trade!D18</f>
        <v>54.7</v>
      </c>
      <c r="E18" s="8">
        <f t="shared" si="0"/>
        <v>-26.899999999999991</v>
      </c>
    </row>
    <row r="19" spans="2:8" x14ac:dyDescent="0.25">
      <c r="B19" s="7">
        <f>Data_Trade!B19</f>
        <v>1710</v>
      </c>
      <c r="C19" s="8">
        <f>Data_Trade!C19</f>
        <v>82.9</v>
      </c>
      <c r="D19" s="8">
        <f>Data_Trade!D19</f>
        <v>59.2</v>
      </c>
      <c r="E19" s="8">
        <f t="shared" si="0"/>
        <v>-23.700000000000003</v>
      </c>
    </row>
    <row r="20" spans="2:8" x14ac:dyDescent="0.25">
      <c r="B20" s="7">
        <f>Data_Trade!B20</f>
        <v>1711</v>
      </c>
      <c r="C20" s="8">
        <f>Data_Trade!C20</f>
        <v>84</v>
      </c>
      <c r="D20" s="8">
        <f>Data_Trade!D20</f>
        <v>64</v>
      </c>
      <c r="E20" s="8">
        <f t="shared" si="0"/>
        <v>-20</v>
      </c>
    </row>
    <row r="21" spans="2:8" x14ac:dyDescent="0.25">
      <c r="B21" s="7">
        <f>Data_Trade!B21</f>
        <v>1712</v>
      </c>
      <c r="C21" s="8">
        <f>Data_Trade!C21</f>
        <v>85</v>
      </c>
      <c r="D21" s="8">
        <f>Data_Trade!D21</f>
        <v>69.2</v>
      </c>
      <c r="E21" s="8">
        <f t="shared" si="0"/>
        <v>-15.799999999999997</v>
      </c>
    </row>
    <row r="22" spans="2:8" x14ac:dyDescent="0.25">
      <c r="B22" s="7">
        <f>Data_Trade!B22</f>
        <v>1713</v>
      </c>
      <c r="C22" s="8">
        <f>Data_Trade!C22</f>
        <v>85.9</v>
      </c>
      <c r="D22" s="8">
        <f>Data_Trade!D22</f>
        <v>72.7</v>
      </c>
      <c r="E22" s="8">
        <f t="shared" si="0"/>
        <v>-13.200000000000003</v>
      </c>
    </row>
    <row r="23" spans="2:8" x14ac:dyDescent="0.25">
      <c r="B23" s="7">
        <f>Data_Trade!B23</f>
        <v>1714</v>
      </c>
      <c r="C23" s="8">
        <f>Data_Trade!C23</f>
        <v>87.1</v>
      </c>
      <c r="D23" s="8">
        <f>Data_Trade!D23</f>
        <v>75.7</v>
      </c>
      <c r="E23" s="8">
        <f t="shared" si="0"/>
        <v>-11.399999999999991</v>
      </c>
    </row>
    <row r="24" spans="2:8" x14ac:dyDescent="0.25">
      <c r="B24" s="7">
        <f>Data_Trade!B24</f>
        <v>1715</v>
      </c>
      <c r="C24" s="8">
        <f>Data_Trade!C24</f>
        <v>87.8</v>
      </c>
      <c r="D24" s="8">
        <f>Data_Trade!D24</f>
        <v>77.5</v>
      </c>
      <c r="E24" s="8">
        <f t="shared" si="0"/>
        <v>-10.299999999999997</v>
      </c>
      <c r="H24" s="3" t="s">
        <v>2</v>
      </c>
    </row>
    <row r="25" spans="2:8" x14ac:dyDescent="0.25">
      <c r="B25" s="7">
        <f>Data_Trade!B25</f>
        <v>1716</v>
      </c>
      <c r="C25" s="8">
        <f>Data_Trade!C25</f>
        <v>89</v>
      </c>
      <c r="D25" s="8">
        <f>Data_Trade!D25</f>
        <v>78.400000000000006</v>
      </c>
      <c r="E25" s="8">
        <f t="shared" si="0"/>
        <v>-10.599999999999994</v>
      </c>
    </row>
    <row r="26" spans="2:8" x14ac:dyDescent="0.25">
      <c r="B26" s="7">
        <f>Data_Trade!B26</f>
        <v>1717</v>
      </c>
      <c r="C26" s="8">
        <f>Data_Trade!C26</f>
        <v>90.2</v>
      </c>
      <c r="D26" s="8">
        <f>Data_Trade!D26</f>
        <v>78.2</v>
      </c>
      <c r="E26" s="8">
        <f t="shared" si="0"/>
        <v>-12</v>
      </c>
    </row>
    <row r="27" spans="2:8" x14ac:dyDescent="0.25">
      <c r="B27" s="7">
        <f>Data_Trade!B27</f>
        <v>1718</v>
      </c>
      <c r="C27" s="8">
        <f>Data_Trade!C27</f>
        <v>92.1</v>
      </c>
      <c r="D27" s="8">
        <f>Data_Trade!D27</f>
        <v>77.5</v>
      </c>
      <c r="E27" s="8">
        <f t="shared" si="0"/>
        <v>-14.599999999999994</v>
      </c>
    </row>
    <row r="28" spans="2:8" x14ac:dyDescent="0.25">
      <c r="B28" s="7">
        <f>Data_Trade!B28</f>
        <v>1719</v>
      </c>
      <c r="C28" s="8">
        <f>Data_Trade!C28</f>
        <v>95</v>
      </c>
      <c r="D28" s="8">
        <f>Data_Trade!D28</f>
        <v>77.099999999999994</v>
      </c>
      <c r="E28" s="8">
        <f t="shared" si="0"/>
        <v>-17.900000000000006</v>
      </c>
    </row>
    <row r="29" spans="2:8" x14ac:dyDescent="0.25">
      <c r="B29" s="7">
        <f>Data_Trade!B29</f>
        <v>1720</v>
      </c>
      <c r="C29" s="8">
        <f>Data_Trade!C29</f>
        <v>97.9</v>
      </c>
      <c r="D29" s="8">
        <f>Data_Trade!D29</f>
        <v>76.7</v>
      </c>
      <c r="E29" s="8">
        <f t="shared" si="0"/>
        <v>-21.200000000000003</v>
      </c>
    </row>
    <row r="30" spans="2:8" x14ac:dyDescent="0.25">
      <c r="B30" s="7">
        <f>Data_Trade!B30</f>
        <v>1721</v>
      </c>
      <c r="C30" s="8">
        <f>Data_Trade!C30</f>
        <v>100</v>
      </c>
      <c r="D30" s="8">
        <f>Data_Trade!D30</f>
        <v>76</v>
      </c>
      <c r="E30" s="8">
        <f t="shared" si="0"/>
        <v>-24</v>
      </c>
    </row>
    <row r="31" spans="2:8" x14ac:dyDescent="0.25">
      <c r="B31" s="7">
        <f>Data_Trade!B31</f>
        <v>1722</v>
      </c>
      <c r="C31" s="8">
        <f>Data_Trade!C31</f>
        <v>101.4</v>
      </c>
      <c r="D31" s="8">
        <f>Data_Trade!D31</f>
        <v>75.3</v>
      </c>
      <c r="E31" s="8">
        <f t="shared" si="0"/>
        <v>-26.100000000000009</v>
      </c>
    </row>
    <row r="32" spans="2:8" x14ac:dyDescent="0.25">
      <c r="B32" s="7">
        <f>Data_Trade!B32</f>
        <v>1723</v>
      </c>
      <c r="C32" s="8">
        <f>Data_Trade!C32</f>
        <v>102.7</v>
      </c>
      <c r="D32" s="8">
        <f>Data_Trade!D32</f>
        <v>74.7</v>
      </c>
      <c r="E32" s="8">
        <f t="shared" si="0"/>
        <v>-28</v>
      </c>
    </row>
    <row r="33" spans="2:5" x14ac:dyDescent="0.25">
      <c r="B33" s="7">
        <f>Data_Trade!B33</f>
        <v>1724</v>
      </c>
      <c r="C33" s="8">
        <f>Data_Trade!C33</f>
        <v>102.8</v>
      </c>
      <c r="D33" s="8">
        <f>Data_Trade!D33</f>
        <v>73.8</v>
      </c>
      <c r="E33" s="8">
        <f t="shared" si="0"/>
        <v>-29</v>
      </c>
    </row>
    <row r="34" spans="2:5" x14ac:dyDescent="0.25">
      <c r="B34" s="7">
        <f>Data_Trade!B34</f>
        <v>1725</v>
      </c>
      <c r="C34" s="8">
        <f>Data_Trade!C34</f>
        <v>102</v>
      </c>
      <c r="D34" s="8">
        <f>Data_Trade!D34</f>
        <v>73.099999999999994</v>
      </c>
      <c r="E34" s="8">
        <f t="shared" si="0"/>
        <v>-28.900000000000006</v>
      </c>
    </row>
    <row r="35" spans="2:5" x14ac:dyDescent="0.25">
      <c r="B35" s="7">
        <f>Data_Trade!B35</f>
        <v>1726</v>
      </c>
      <c r="C35" s="8">
        <f>Data_Trade!C35</f>
        <v>102.8</v>
      </c>
      <c r="D35" s="8">
        <f>Data_Trade!D35</f>
        <v>72.099999999999994</v>
      </c>
      <c r="E35" s="8">
        <f t="shared" si="0"/>
        <v>-30.700000000000003</v>
      </c>
    </row>
    <row r="36" spans="2:5" x14ac:dyDescent="0.25">
      <c r="B36" s="7">
        <f>Data_Trade!B36</f>
        <v>1727</v>
      </c>
      <c r="C36" s="8">
        <f>Data_Trade!C36</f>
        <v>101.9</v>
      </c>
      <c r="D36" s="8">
        <f>Data_Trade!D36</f>
        <v>70.599999999999994</v>
      </c>
      <c r="E36" s="8">
        <f t="shared" si="0"/>
        <v>-31.300000000000011</v>
      </c>
    </row>
    <row r="37" spans="2:5" x14ac:dyDescent="0.25">
      <c r="B37" s="7">
        <f>Data_Trade!B37</f>
        <v>1728</v>
      </c>
      <c r="C37" s="8">
        <f>Data_Trade!C37</f>
        <v>101</v>
      </c>
      <c r="D37" s="8">
        <f>Data_Trade!D37</f>
        <v>68.900000000000006</v>
      </c>
      <c r="E37" s="8">
        <f t="shared" si="0"/>
        <v>-32.099999999999994</v>
      </c>
    </row>
    <row r="38" spans="2:5" x14ac:dyDescent="0.25">
      <c r="B38" s="7">
        <f>Data_Trade!B38</f>
        <v>1729</v>
      </c>
      <c r="C38" s="8">
        <f>Data_Trade!C38</f>
        <v>100.1</v>
      </c>
      <c r="D38" s="8">
        <f>Data_Trade!D38</f>
        <v>67.400000000000006</v>
      </c>
      <c r="E38" s="8">
        <f t="shared" si="0"/>
        <v>-32.699999999999989</v>
      </c>
    </row>
    <row r="39" spans="2:5" x14ac:dyDescent="0.25">
      <c r="B39" s="7">
        <f>Data_Trade!B39</f>
        <v>1730</v>
      </c>
      <c r="C39" s="8">
        <f>Data_Trade!C39</f>
        <v>97.8</v>
      </c>
      <c r="D39" s="8">
        <f>Data_Trade!D39</f>
        <v>65</v>
      </c>
      <c r="E39" s="8">
        <f t="shared" si="0"/>
        <v>-32.799999999999997</v>
      </c>
    </row>
    <row r="40" spans="2:5" x14ac:dyDescent="0.25">
      <c r="B40" s="7">
        <f>Data_Trade!B40</f>
        <v>1731</v>
      </c>
      <c r="C40" s="8">
        <f>Data_Trade!C40</f>
        <v>96.7</v>
      </c>
      <c r="D40" s="8">
        <f>Data_Trade!D40</f>
        <v>63.5</v>
      </c>
      <c r="E40" s="8">
        <f t="shared" si="0"/>
        <v>-33.200000000000003</v>
      </c>
    </row>
    <row r="41" spans="2:5" x14ac:dyDescent="0.25">
      <c r="B41" s="7">
        <f>Data_Trade!B41</f>
        <v>1732</v>
      </c>
      <c r="C41" s="8">
        <f>Data_Trade!C41</f>
        <v>95.2</v>
      </c>
      <c r="D41" s="8">
        <f>Data_Trade!D41</f>
        <v>62.4</v>
      </c>
      <c r="E41" s="8">
        <f t="shared" ref="E41:E72" si="1">D41-C41</f>
        <v>-32.800000000000004</v>
      </c>
    </row>
    <row r="42" spans="2:5" x14ac:dyDescent="0.25">
      <c r="B42" s="7">
        <f>Data_Trade!B42</f>
        <v>1733</v>
      </c>
      <c r="C42" s="8">
        <f>Data_Trade!C42</f>
        <v>94.3</v>
      </c>
      <c r="D42" s="8">
        <f>Data_Trade!D42</f>
        <v>61.5</v>
      </c>
      <c r="E42" s="8">
        <f t="shared" si="1"/>
        <v>-32.799999999999997</v>
      </c>
    </row>
    <row r="43" spans="2:5" x14ac:dyDescent="0.25">
      <c r="B43" s="7">
        <f>Data_Trade!B43</f>
        <v>1734</v>
      </c>
      <c r="C43" s="8">
        <f>Data_Trade!C43</f>
        <v>94</v>
      </c>
      <c r="D43" s="8">
        <f>Data_Trade!D43</f>
        <v>61.4</v>
      </c>
      <c r="E43" s="8">
        <f t="shared" si="1"/>
        <v>-32.6</v>
      </c>
    </row>
    <row r="44" spans="2:5" x14ac:dyDescent="0.25">
      <c r="B44" s="7">
        <f>Data_Trade!B44</f>
        <v>1735</v>
      </c>
      <c r="C44" s="8">
        <f>Data_Trade!C44</f>
        <v>93.4</v>
      </c>
      <c r="D44" s="8">
        <f>Data_Trade!D44</f>
        <v>61.4</v>
      </c>
      <c r="E44" s="8">
        <f t="shared" si="1"/>
        <v>-32.000000000000007</v>
      </c>
    </row>
    <row r="45" spans="2:5" x14ac:dyDescent="0.25">
      <c r="B45" s="7">
        <f>Data_Trade!B45</f>
        <v>1736</v>
      </c>
      <c r="C45" s="8">
        <f>Data_Trade!C45</f>
        <v>93.6</v>
      </c>
      <c r="D45" s="8">
        <f>Data_Trade!D45</f>
        <v>61.3</v>
      </c>
      <c r="E45" s="8">
        <f t="shared" si="1"/>
        <v>-32.299999999999997</v>
      </c>
    </row>
    <row r="46" spans="2:5" x14ac:dyDescent="0.25">
      <c r="B46" s="7">
        <f>Data_Trade!B46</f>
        <v>1737</v>
      </c>
      <c r="C46" s="8">
        <f>Data_Trade!C46</f>
        <v>93.5</v>
      </c>
      <c r="D46" s="8">
        <f>Data_Trade!D46</f>
        <v>62</v>
      </c>
      <c r="E46" s="8">
        <f t="shared" si="1"/>
        <v>-31.5</v>
      </c>
    </row>
    <row r="47" spans="2:5" x14ac:dyDescent="0.25">
      <c r="B47" s="7">
        <f>Data_Trade!B47</f>
        <v>1738</v>
      </c>
      <c r="C47" s="8">
        <f>Data_Trade!C47</f>
        <v>93.4</v>
      </c>
      <c r="D47" s="8">
        <f>Data_Trade!D47</f>
        <v>63</v>
      </c>
      <c r="E47" s="8">
        <f t="shared" si="1"/>
        <v>-30.400000000000006</v>
      </c>
    </row>
    <row r="48" spans="2:5" x14ac:dyDescent="0.25">
      <c r="B48" s="7">
        <f>Data_Trade!B48</f>
        <v>1739</v>
      </c>
      <c r="C48" s="8">
        <f>Data_Trade!C48</f>
        <v>93.5</v>
      </c>
      <c r="D48" s="8">
        <f>Data_Trade!D48</f>
        <v>64.3</v>
      </c>
      <c r="E48" s="8">
        <f t="shared" si="1"/>
        <v>-29.200000000000003</v>
      </c>
    </row>
    <row r="49" spans="2:5" x14ac:dyDescent="0.25">
      <c r="B49" s="7">
        <f>Data_Trade!B49</f>
        <v>1740</v>
      </c>
      <c r="C49" s="8">
        <f>Data_Trade!C49</f>
        <v>93.5</v>
      </c>
      <c r="D49" s="8">
        <f>Data_Trade!D49</f>
        <v>66</v>
      </c>
      <c r="E49" s="8">
        <f t="shared" si="1"/>
        <v>-27.5</v>
      </c>
    </row>
    <row r="50" spans="2:5" x14ac:dyDescent="0.25">
      <c r="B50" s="7">
        <f>Data_Trade!B50</f>
        <v>1741</v>
      </c>
      <c r="C50" s="8">
        <f>Data_Trade!C50</f>
        <v>93.7</v>
      </c>
      <c r="D50" s="8">
        <f>Data_Trade!D50</f>
        <v>68</v>
      </c>
      <c r="E50" s="8">
        <f t="shared" si="1"/>
        <v>-25.700000000000003</v>
      </c>
    </row>
    <row r="51" spans="2:5" x14ac:dyDescent="0.25">
      <c r="B51" s="7">
        <f>Data_Trade!B51</f>
        <v>1742</v>
      </c>
      <c r="C51" s="8">
        <f>Data_Trade!C51</f>
        <v>93.9</v>
      </c>
      <c r="D51" s="8">
        <f>Data_Trade!D51</f>
        <v>70.2</v>
      </c>
      <c r="E51" s="8">
        <f t="shared" si="1"/>
        <v>-23.700000000000003</v>
      </c>
    </row>
    <row r="52" spans="2:5" x14ac:dyDescent="0.25">
      <c r="B52" s="7">
        <f>Data_Trade!B52</f>
        <v>1743</v>
      </c>
      <c r="C52" s="8">
        <f>Data_Trade!C52</f>
        <v>93.5</v>
      </c>
      <c r="D52" s="8">
        <f>Data_Trade!D52</f>
        <v>72.5</v>
      </c>
      <c r="E52" s="8">
        <f t="shared" si="1"/>
        <v>-21</v>
      </c>
    </row>
    <row r="53" spans="2:5" x14ac:dyDescent="0.25">
      <c r="B53" s="7">
        <f>Data_Trade!B53</f>
        <v>1744</v>
      </c>
      <c r="C53" s="8">
        <f>Data_Trade!C53</f>
        <v>93.3</v>
      </c>
      <c r="D53" s="8">
        <f>Data_Trade!D53</f>
        <v>73.900000000000006</v>
      </c>
      <c r="E53" s="8">
        <f t="shared" si="1"/>
        <v>-19.399999999999991</v>
      </c>
    </row>
    <row r="54" spans="2:5" x14ac:dyDescent="0.25">
      <c r="B54" s="7">
        <f>Data_Trade!B54</f>
        <v>1745</v>
      </c>
      <c r="C54" s="8">
        <f>Data_Trade!C54</f>
        <v>93</v>
      </c>
      <c r="D54" s="8">
        <f>Data_Trade!D54</f>
        <v>74.7</v>
      </c>
      <c r="E54" s="8">
        <f t="shared" si="1"/>
        <v>-18.299999999999997</v>
      </c>
    </row>
    <row r="55" spans="2:5" x14ac:dyDescent="0.25">
      <c r="B55" s="7">
        <f>Data_Trade!B55</f>
        <v>1746</v>
      </c>
      <c r="C55" s="8">
        <f>Data_Trade!C55</f>
        <v>92.3</v>
      </c>
      <c r="D55" s="8">
        <f>Data_Trade!D55</f>
        <v>75.3</v>
      </c>
      <c r="E55" s="8">
        <f t="shared" si="1"/>
        <v>-17</v>
      </c>
    </row>
    <row r="56" spans="2:5" x14ac:dyDescent="0.25">
      <c r="B56" s="7">
        <f>Data_Trade!B56</f>
        <v>1747</v>
      </c>
      <c r="C56" s="8">
        <f>Data_Trade!C56</f>
        <v>92.5</v>
      </c>
      <c r="D56" s="8">
        <f>Data_Trade!D56</f>
        <v>75.900000000000006</v>
      </c>
      <c r="E56" s="8">
        <f t="shared" si="1"/>
        <v>-16.599999999999994</v>
      </c>
    </row>
    <row r="57" spans="2:5" x14ac:dyDescent="0.25">
      <c r="B57" s="7">
        <f>Data_Trade!B57</f>
        <v>1748</v>
      </c>
      <c r="C57" s="8">
        <f>Data_Trade!C57</f>
        <v>92.1</v>
      </c>
      <c r="D57" s="8">
        <f>Data_Trade!D57</f>
        <v>76.3</v>
      </c>
      <c r="E57" s="8">
        <f t="shared" si="1"/>
        <v>-15.799999999999997</v>
      </c>
    </row>
    <row r="58" spans="2:5" x14ac:dyDescent="0.25">
      <c r="B58" s="7">
        <f>Data_Trade!B58</f>
        <v>1749</v>
      </c>
      <c r="C58" s="8">
        <f>Data_Trade!C58</f>
        <v>91.5</v>
      </c>
      <c r="D58" s="8">
        <f>Data_Trade!D58</f>
        <v>77.2</v>
      </c>
      <c r="E58" s="8">
        <f t="shared" si="1"/>
        <v>-14.299999999999997</v>
      </c>
    </row>
    <row r="59" spans="2:5" x14ac:dyDescent="0.25">
      <c r="B59" s="7">
        <f>Data_Trade!B59</f>
        <v>1750</v>
      </c>
      <c r="C59" s="8">
        <f>Data_Trade!C59</f>
        <v>90.9</v>
      </c>
      <c r="D59" s="8">
        <f>Data_Trade!D59</f>
        <v>78.2</v>
      </c>
      <c r="E59" s="8">
        <f t="shared" si="1"/>
        <v>-12.700000000000003</v>
      </c>
    </row>
    <row r="60" spans="2:5" x14ac:dyDescent="0.25">
      <c r="B60" s="7">
        <f>Data_Trade!B60</f>
        <v>1751</v>
      </c>
      <c r="C60" s="8">
        <f>Data_Trade!C60</f>
        <v>90</v>
      </c>
      <c r="D60" s="8">
        <f>Data_Trade!D60</f>
        <v>79.2</v>
      </c>
      <c r="E60" s="8">
        <f t="shared" si="1"/>
        <v>-10.799999999999997</v>
      </c>
    </row>
    <row r="61" spans="2:5" x14ac:dyDescent="0.25">
      <c r="B61" s="7">
        <f>Data_Trade!B61</f>
        <v>1752</v>
      </c>
      <c r="C61" s="8">
        <f>Data_Trade!C61</f>
        <v>87.9</v>
      </c>
      <c r="D61" s="8">
        <f>Data_Trade!D61</f>
        <v>80.099999999999994</v>
      </c>
      <c r="E61" s="8">
        <f t="shared" si="1"/>
        <v>-7.8000000000000114</v>
      </c>
    </row>
    <row r="62" spans="2:5" x14ac:dyDescent="0.25">
      <c r="B62" s="7">
        <f>Data_Trade!B62</f>
        <v>1753</v>
      </c>
      <c r="C62" s="8">
        <f>Data_Trade!C62</f>
        <v>84.8</v>
      </c>
      <c r="D62" s="8">
        <f>Data_Trade!D62</f>
        <v>80.7</v>
      </c>
      <c r="E62" s="8">
        <f t="shared" si="1"/>
        <v>-4.0999999999999943</v>
      </c>
    </row>
    <row r="63" spans="2:5" x14ac:dyDescent="0.25">
      <c r="B63" s="7">
        <f>Data_Trade!B63</f>
        <v>1754</v>
      </c>
      <c r="C63" s="8">
        <f>Data_Trade!C63</f>
        <v>82.9</v>
      </c>
      <c r="D63" s="8">
        <f>Data_Trade!D63</f>
        <v>81.3</v>
      </c>
      <c r="E63" s="8">
        <f t="shared" si="1"/>
        <v>-1.6000000000000085</v>
      </c>
    </row>
    <row r="64" spans="2:5" x14ac:dyDescent="0.25">
      <c r="B64" s="7">
        <f>Data_Trade!B64</f>
        <v>1755</v>
      </c>
      <c r="C64" s="8">
        <f>Data_Trade!C64</f>
        <v>79.8</v>
      </c>
      <c r="D64" s="8">
        <f>Data_Trade!D64</f>
        <v>84</v>
      </c>
      <c r="E64" s="8">
        <f t="shared" si="1"/>
        <v>4.2000000000000028</v>
      </c>
    </row>
    <row r="65" spans="2:5" x14ac:dyDescent="0.25">
      <c r="B65" s="7">
        <f>Data_Trade!B65</f>
        <v>1756</v>
      </c>
      <c r="C65" s="8">
        <f>Data_Trade!C65</f>
        <v>78.400000000000006</v>
      </c>
      <c r="D65" s="8">
        <f>Data_Trade!D65</f>
        <v>86.8</v>
      </c>
      <c r="E65" s="8">
        <f t="shared" si="1"/>
        <v>8.3999999999999915</v>
      </c>
    </row>
    <row r="66" spans="2:5" x14ac:dyDescent="0.25">
      <c r="B66" s="7">
        <f>Data_Trade!B66</f>
        <v>1757</v>
      </c>
      <c r="C66" s="8">
        <f>Data_Trade!C66</f>
        <v>78</v>
      </c>
      <c r="D66" s="8">
        <f>Data_Trade!D66</f>
        <v>92.1</v>
      </c>
      <c r="E66" s="8">
        <f t="shared" si="1"/>
        <v>14.099999999999994</v>
      </c>
    </row>
    <row r="67" spans="2:5" x14ac:dyDescent="0.25">
      <c r="B67" s="7">
        <f>Data_Trade!B67</f>
        <v>1758</v>
      </c>
      <c r="C67" s="8">
        <f>Data_Trade!C67</f>
        <v>77.5</v>
      </c>
      <c r="D67" s="8">
        <f>Data_Trade!D67</f>
        <v>97.9</v>
      </c>
      <c r="E67" s="8">
        <f t="shared" si="1"/>
        <v>20.400000000000006</v>
      </c>
    </row>
    <row r="68" spans="2:5" x14ac:dyDescent="0.25">
      <c r="B68" s="7">
        <f>Data_Trade!B68</f>
        <v>1759</v>
      </c>
      <c r="C68" s="8">
        <f>Data_Trade!C68</f>
        <v>77.400000000000006</v>
      </c>
      <c r="D68" s="8">
        <f>Data_Trade!D68</f>
        <v>105.4</v>
      </c>
      <c r="E68" s="8">
        <f t="shared" si="1"/>
        <v>28</v>
      </c>
    </row>
    <row r="69" spans="2:5" x14ac:dyDescent="0.25">
      <c r="B69" s="7">
        <f>Data_Trade!B69</f>
        <v>1760</v>
      </c>
      <c r="C69" s="8">
        <f>Data_Trade!C69</f>
        <v>77.400000000000006</v>
      </c>
      <c r="D69" s="8">
        <f>Data_Trade!D69</f>
        <v>119.3</v>
      </c>
      <c r="E69" s="8">
        <f t="shared" si="1"/>
        <v>41.899999999999991</v>
      </c>
    </row>
    <row r="70" spans="2:5" x14ac:dyDescent="0.25">
      <c r="B70" s="7">
        <f>Data_Trade!B70</f>
        <v>1761</v>
      </c>
      <c r="C70" s="8">
        <f>Data_Trade!C70</f>
        <v>77.599999999999994</v>
      </c>
      <c r="D70" s="8">
        <f>Data_Trade!D70</f>
        <v>127.9</v>
      </c>
      <c r="E70" s="8">
        <f t="shared" si="1"/>
        <v>50.300000000000011</v>
      </c>
    </row>
    <row r="71" spans="2:5" x14ac:dyDescent="0.25">
      <c r="B71" s="7">
        <f>Data_Trade!B71</f>
        <v>1762</v>
      </c>
      <c r="C71" s="8">
        <f>Data_Trade!C71</f>
        <v>78</v>
      </c>
      <c r="D71" s="8">
        <f>Data_Trade!D71</f>
        <v>135.6</v>
      </c>
      <c r="E71" s="8">
        <f t="shared" si="1"/>
        <v>57.599999999999994</v>
      </c>
    </row>
    <row r="72" spans="2:5" x14ac:dyDescent="0.25">
      <c r="B72" s="7">
        <f>Data_Trade!B72</f>
        <v>1763</v>
      </c>
      <c r="C72" s="8">
        <f>Data_Trade!C72</f>
        <v>78.2</v>
      </c>
      <c r="D72" s="8">
        <f>Data_Trade!D72</f>
        <v>142.6</v>
      </c>
      <c r="E72" s="8">
        <f t="shared" si="1"/>
        <v>64.399999999999991</v>
      </c>
    </row>
    <row r="73" spans="2:5" x14ac:dyDescent="0.25">
      <c r="B73" s="7">
        <f>Data_Trade!B73</f>
        <v>1764</v>
      </c>
      <c r="C73" s="8">
        <f>Data_Trade!C73</f>
        <v>78.7</v>
      </c>
      <c r="D73" s="8">
        <f>Data_Trade!D73</f>
        <v>146.5</v>
      </c>
      <c r="E73" s="8">
        <f t="shared" ref="E73:E104" si="2">D73-C73</f>
        <v>67.8</v>
      </c>
    </row>
    <row r="74" spans="2:5" x14ac:dyDescent="0.25">
      <c r="B74" s="7">
        <f>Data_Trade!B74</f>
        <v>1765</v>
      </c>
      <c r="C74" s="8">
        <f>Data_Trade!C74</f>
        <v>79.3</v>
      </c>
      <c r="D74" s="8">
        <f>Data_Trade!D74</f>
        <v>150.69999999999999</v>
      </c>
      <c r="E74" s="8">
        <f t="shared" si="2"/>
        <v>71.399999999999991</v>
      </c>
    </row>
    <row r="75" spans="2:5" x14ac:dyDescent="0.25">
      <c r="B75" s="7">
        <f>Data_Trade!B75</f>
        <v>1766</v>
      </c>
      <c r="C75" s="8">
        <f>Data_Trade!C75</f>
        <v>80.2</v>
      </c>
      <c r="D75" s="8">
        <f>Data_Trade!D75</f>
        <v>152.80000000000001</v>
      </c>
      <c r="E75" s="8">
        <f t="shared" si="2"/>
        <v>72.600000000000009</v>
      </c>
    </row>
    <row r="76" spans="2:5" x14ac:dyDescent="0.25">
      <c r="B76" s="7">
        <f>Data_Trade!B76</f>
        <v>1767</v>
      </c>
      <c r="C76" s="8">
        <f>Data_Trade!C76</f>
        <v>81.2</v>
      </c>
      <c r="D76" s="8">
        <f>Data_Trade!D76</f>
        <v>156</v>
      </c>
      <c r="E76" s="8">
        <f t="shared" si="2"/>
        <v>74.8</v>
      </c>
    </row>
    <row r="77" spans="2:5" x14ac:dyDescent="0.25">
      <c r="B77" s="7">
        <f>Data_Trade!B77</f>
        <v>1768</v>
      </c>
      <c r="C77" s="8">
        <f>Data_Trade!C77</f>
        <v>82</v>
      </c>
      <c r="D77" s="8">
        <f>Data_Trade!D77</f>
        <v>159.30000000000001</v>
      </c>
      <c r="E77" s="8">
        <f t="shared" si="2"/>
        <v>77.300000000000011</v>
      </c>
    </row>
    <row r="78" spans="2:5" x14ac:dyDescent="0.25">
      <c r="B78" s="7">
        <f>Data_Trade!B78</f>
        <v>1769</v>
      </c>
      <c r="C78" s="8">
        <f>Data_Trade!C78</f>
        <v>82.9</v>
      </c>
      <c r="D78" s="8">
        <f>Data_Trade!D78</f>
        <v>162.1</v>
      </c>
      <c r="E78" s="8">
        <f t="shared" si="2"/>
        <v>79.199999999999989</v>
      </c>
    </row>
    <row r="79" spans="2:5" x14ac:dyDescent="0.25">
      <c r="B79" s="7">
        <f>Data_Trade!B79</f>
        <v>1770</v>
      </c>
      <c r="C79" s="8">
        <f>Data_Trade!C79</f>
        <v>84</v>
      </c>
      <c r="D79" s="8">
        <f>Data_Trade!D79</f>
        <v>164.2</v>
      </c>
      <c r="E79" s="8">
        <f t="shared" si="2"/>
        <v>80.199999999999989</v>
      </c>
    </row>
    <row r="80" spans="2:5" x14ac:dyDescent="0.25">
      <c r="B80" s="7">
        <f>Data_Trade!B80</f>
        <v>1771</v>
      </c>
      <c r="C80" s="8">
        <f>Data_Trade!C80</f>
        <v>85.9</v>
      </c>
      <c r="D80" s="8">
        <f>Data_Trade!D80</f>
        <v>166.6</v>
      </c>
      <c r="E80" s="8">
        <f t="shared" si="2"/>
        <v>80.699999999999989</v>
      </c>
    </row>
    <row r="81" spans="2:5" x14ac:dyDescent="0.25">
      <c r="B81" s="7">
        <f>Data_Trade!B81</f>
        <v>1772</v>
      </c>
      <c r="C81" s="8">
        <f>Data_Trade!C81</f>
        <v>87.3</v>
      </c>
      <c r="D81" s="8">
        <f>Data_Trade!D81</f>
        <v>169.2</v>
      </c>
      <c r="E81" s="8">
        <f t="shared" si="2"/>
        <v>81.899999999999991</v>
      </c>
    </row>
    <row r="82" spans="2:5" x14ac:dyDescent="0.25">
      <c r="B82" s="7">
        <f>Data_Trade!B82</f>
        <v>1773</v>
      </c>
      <c r="C82" s="8">
        <f>Data_Trade!C82</f>
        <v>89</v>
      </c>
      <c r="D82" s="8">
        <f>Data_Trade!D82</f>
        <v>172.5</v>
      </c>
      <c r="E82" s="8">
        <f t="shared" si="2"/>
        <v>83.5</v>
      </c>
    </row>
    <row r="83" spans="2:5" x14ac:dyDescent="0.25">
      <c r="B83" s="7">
        <f>Data_Trade!B83</f>
        <v>1774</v>
      </c>
      <c r="C83" s="8">
        <f>Data_Trade!C83</f>
        <v>90.6</v>
      </c>
      <c r="D83" s="8">
        <f>Data_Trade!D83</f>
        <v>175.8</v>
      </c>
      <c r="E83" s="8">
        <f t="shared" si="2"/>
        <v>85.200000000000017</v>
      </c>
    </row>
    <row r="84" spans="2:5" x14ac:dyDescent="0.25">
      <c r="B84" s="7">
        <f>Data_Trade!B84</f>
        <v>1775</v>
      </c>
      <c r="C84" s="8">
        <f>Data_Trade!C84</f>
        <v>91.5</v>
      </c>
      <c r="D84" s="8">
        <f>Data_Trade!D84</f>
        <v>178.8</v>
      </c>
      <c r="E84" s="8">
        <f t="shared" si="2"/>
        <v>87.300000000000011</v>
      </c>
    </row>
    <row r="85" spans="2:5" x14ac:dyDescent="0.25">
      <c r="B85" s="7">
        <f>Data_Trade!B85</f>
        <v>1776</v>
      </c>
      <c r="C85" s="8">
        <f>Data_Trade!C85</f>
        <v>91.6</v>
      </c>
      <c r="D85" s="8">
        <f>Data_Trade!D85</f>
        <v>181.5</v>
      </c>
      <c r="E85" s="8">
        <f t="shared" si="2"/>
        <v>89.9</v>
      </c>
    </row>
    <row r="86" spans="2:5" x14ac:dyDescent="0.25">
      <c r="B86" s="7">
        <f>Data_Trade!B86</f>
        <v>1777</v>
      </c>
      <c r="C86" s="8">
        <f>Data_Trade!C86</f>
        <v>92</v>
      </c>
      <c r="D86" s="8">
        <f>Data_Trade!D86</f>
        <v>183.4</v>
      </c>
      <c r="E86" s="8">
        <f t="shared" si="2"/>
        <v>91.4</v>
      </c>
    </row>
    <row r="87" spans="2:5" x14ac:dyDescent="0.25">
      <c r="B87" s="7">
        <f>Data_Trade!B87</f>
        <v>1778</v>
      </c>
      <c r="C87" s="8">
        <f>Data_Trade!C87</f>
        <v>92</v>
      </c>
      <c r="D87" s="8">
        <f>Data_Trade!D87</f>
        <v>184.8</v>
      </c>
      <c r="E87" s="8">
        <f t="shared" si="2"/>
        <v>92.800000000000011</v>
      </c>
    </row>
    <row r="88" spans="2:5" x14ac:dyDescent="0.25">
      <c r="B88" s="7">
        <f>Data_Trade!B88</f>
        <v>1779</v>
      </c>
      <c r="C88" s="8">
        <f>Data_Trade!C88</f>
        <v>92.3</v>
      </c>
      <c r="D88" s="8">
        <f>Data_Trade!D88</f>
        <v>186</v>
      </c>
      <c r="E88" s="8">
        <f t="shared" si="2"/>
        <v>93.7</v>
      </c>
    </row>
    <row r="89" spans="2:5" x14ac:dyDescent="0.25">
      <c r="B89" s="7">
        <f>Data_Trade!B89</f>
        <v>1780</v>
      </c>
      <c r="C89" s="8">
        <f>Data_Trade!C89</f>
        <v>92.7</v>
      </c>
      <c r="D89" s="8">
        <f>Data_Trade!D89</f>
        <v>186.7</v>
      </c>
      <c r="E89" s="8">
        <f t="shared" si="2"/>
        <v>93.999999999999986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89"/>
  <sheetViews>
    <sheetView showGridLines="0" workbookViewId="0"/>
  </sheetViews>
  <sheetFormatPr defaultRowHeight="15" x14ac:dyDescent="0.25"/>
  <cols>
    <col min="2" max="2" width="10" customWidth="1"/>
    <col min="3" max="5" width="11" customWidth="1"/>
  </cols>
  <sheetData>
    <row r="2" spans="2:5" ht="21" x14ac:dyDescent="0.35">
      <c r="B2" s="1" t="s">
        <v>21</v>
      </c>
    </row>
    <row r="3" spans="2:5" x14ac:dyDescent="0.25">
      <c r="B3" s="2" t="s">
        <v>22</v>
      </c>
    </row>
    <row r="5" spans="2:5" x14ac:dyDescent="0.25">
      <c r="B5" s="3" t="s">
        <v>2</v>
      </c>
    </row>
    <row r="6" spans="2:5" x14ac:dyDescent="0.25">
      <c r="B6" s="4" t="s">
        <v>23</v>
      </c>
    </row>
    <row r="8" spans="2:5" x14ac:dyDescent="0.25">
      <c r="B8" s="5" t="s">
        <v>4</v>
      </c>
      <c r="C8" s="6" t="s">
        <v>14</v>
      </c>
      <c r="D8" s="6" t="s">
        <v>15</v>
      </c>
      <c r="E8" s="6" t="s">
        <v>20</v>
      </c>
    </row>
    <row r="9" spans="2:5" x14ac:dyDescent="0.25">
      <c r="B9" s="7">
        <v>1700</v>
      </c>
      <c r="C9" s="8">
        <v>71.900000000000006</v>
      </c>
      <c r="D9" s="8">
        <v>33.5</v>
      </c>
      <c r="E9" s="12">
        <f t="shared" ref="E9:E40" si="0">D9-C9</f>
        <v>-38.400000000000006</v>
      </c>
    </row>
    <row r="10" spans="2:5" x14ac:dyDescent="0.25">
      <c r="B10" s="7">
        <v>1701</v>
      </c>
      <c r="C10" s="8">
        <v>72.099999999999994</v>
      </c>
      <c r="D10" s="8">
        <v>35.299999999999997</v>
      </c>
      <c r="E10" s="12">
        <f t="shared" si="0"/>
        <v>-36.799999999999997</v>
      </c>
    </row>
    <row r="11" spans="2:5" x14ac:dyDescent="0.25">
      <c r="B11" s="7">
        <v>1702</v>
      </c>
      <c r="C11" s="8">
        <v>72.7</v>
      </c>
      <c r="D11" s="8">
        <v>37.799999999999997</v>
      </c>
      <c r="E11" s="12">
        <f t="shared" si="0"/>
        <v>-34.900000000000006</v>
      </c>
    </row>
    <row r="12" spans="2:5" x14ac:dyDescent="0.25">
      <c r="B12" s="7">
        <v>1703</v>
      </c>
      <c r="C12" s="8">
        <v>74.099999999999994</v>
      </c>
      <c r="D12" s="8">
        <v>39.6</v>
      </c>
      <c r="E12" s="12">
        <f t="shared" si="0"/>
        <v>-34.499999999999993</v>
      </c>
    </row>
    <row r="13" spans="2:5" x14ac:dyDescent="0.25">
      <c r="B13" s="7">
        <v>1704</v>
      </c>
      <c r="C13" s="8">
        <v>75.2</v>
      </c>
      <c r="D13" s="8">
        <v>40.9</v>
      </c>
      <c r="E13" s="12">
        <f t="shared" si="0"/>
        <v>-34.300000000000004</v>
      </c>
    </row>
    <row r="14" spans="2:5" x14ac:dyDescent="0.25">
      <c r="B14" s="7">
        <v>1705</v>
      </c>
      <c r="C14" s="8">
        <v>76.099999999999994</v>
      </c>
      <c r="D14" s="8">
        <v>41.5</v>
      </c>
      <c r="E14" s="12">
        <f t="shared" si="0"/>
        <v>-34.599999999999994</v>
      </c>
    </row>
    <row r="15" spans="2:5" x14ac:dyDescent="0.25">
      <c r="B15" s="7">
        <v>1706</v>
      </c>
      <c r="C15" s="8">
        <v>77</v>
      </c>
      <c r="D15" s="8">
        <v>43.5</v>
      </c>
      <c r="E15" s="12">
        <f t="shared" si="0"/>
        <v>-33.5</v>
      </c>
    </row>
    <row r="16" spans="2:5" x14ac:dyDescent="0.25">
      <c r="B16" s="7">
        <v>1707</v>
      </c>
      <c r="C16" s="8">
        <v>78.3</v>
      </c>
      <c r="D16" s="8">
        <v>46.6</v>
      </c>
      <c r="E16" s="12">
        <f t="shared" si="0"/>
        <v>-31.699999999999996</v>
      </c>
    </row>
    <row r="17" spans="2:5" x14ac:dyDescent="0.25">
      <c r="B17" s="7">
        <v>1708</v>
      </c>
      <c r="C17" s="8">
        <v>79.599999999999994</v>
      </c>
      <c r="D17" s="8">
        <v>50.2</v>
      </c>
      <c r="E17" s="12">
        <f t="shared" si="0"/>
        <v>-29.399999999999991</v>
      </c>
    </row>
    <row r="18" spans="2:5" x14ac:dyDescent="0.25">
      <c r="B18" s="7">
        <v>1709</v>
      </c>
      <c r="C18" s="8">
        <v>81.599999999999994</v>
      </c>
      <c r="D18" s="8">
        <v>54.7</v>
      </c>
      <c r="E18" s="12">
        <f t="shared" si="0"/>
        <v>-26.899999999999991</v>
      </c>
    </row>
    <row r="19" spans="2:5" x14ac:dyDescent="0.25">
      <c r="B19" s="7">
        <v>1710</v>
      </c>
      <c r="C19" s="8">
        <v>82.9</v>
      </c>
      <c r="D19" s="8">
        <v>59.2</v>
      </c>
      <c r="E19" s="12">
        <f t="shared" si="0"/>
        <v>-23.700000000000003</v>
      </c>
    </row>
    <row r="20" spans="2:5" x14ac:dyDescent="0.25">
      <c r="B20" s="7">
        <v>1711</v>
      </c>
      <c r="C20" s="8">
        <v>84</v>
      </c>
      <c r="D20" s="8">
        <v>64</v>
      </c>
      <c r="E20" s="12">
        <f t="shared" si="0"/>
        <v>-20</v>
      </c>
    </row>
    <row r="21" spans="2:5" x14ac:dyDescent="0.25">
      <c r="B21" s="7">
        <v>1712</v>
      </c>
      <c r="C21" s="8">
        <v>85</v>
      </c>
      <c r="D21" s="8">
        <v>69.2</v>
      </c>
      <c r="E21" s="12">
        <f t="shared" si="0"/>
        <v>-15.799999999999997</v>
      </c>
    </row>
    <row r="22" spans="2:5" x14ac:dyDescent="0.25">
      <c r="B22" s="7">
        <v>1713</v>
      </c>
      <c r="C22" s="8">
        <v>85.9</v>
      </c>
      <c r="D22" s="8">
        <v>72.7</v>
      </c>
      <c r="E22" s="12">
        <f t="shared" si="0"/>
        <v>-13.200000000000003</v>
      </c>
    </row>
    <row r="23" spans="2:5" x14ac:dyDescent="0.25">
      <c r="B23" s="7">
        <v>1714</v>
      </c>
      <c r="C23" s="8">
        <v>87.1</v>
      </c>
      <c r="D23" s="8">
        <v>75.7</v>
      </c>
      <c r="E23" s="12">
        <f t="shared" si="0"/>
        <v>-11.399999999999991</v>
      </c>
    </row>
    <row r="24" spans="2:5" x14ac:dyDescent="0.25">
      <c r="B24" s="7">
        <v>1715</v>
      </c>
      <c r="C24" s="8">
        <v>87.8</v>
      </c>
      <c r="D24" s="8">
        <v>77.5</v>
      </c>
      <c r="E24" s="12">
        <f t="shared" si="0"/>
        <v>-10.299999999999997</v>
      </c>
    </row>
    <row r="25" spans="2:5" x14ac:dyDescent="0.25">
      <c r="B25" s="7">
        <v>1716</v>
      </c>
      <c r="C25" s="8">
        <v>89</v>
      </c>
      <c r="D25" s="8">
        <v>78.400000000000006</v>
      </c>
      <c r="E25" s="12">
        <f t="shared" si="0"/>
        <v>-10.599999999999994</v>
      </c>
    </row>
    <row r="26" spans="2:5" x14ac:dyDescent="0.25">
      <c r="B26" s="7">
        <v>1717</v>
      </c>
      <c r="C26" s="8">
        <v>90.2</v>
      </c>
      <c r="D26" s="8">
        <v>78.2</v>
      </c>
      <c r="E26" s="12">
        <f t="shared" si="0"/>
        <v>-12</v>
      </c>
    </row>
    <row r="27" spans="2:5" x14ac:dyDescent="0.25">
      <c r="B27" s="7">
        <v>1718</v>
      </c>
      <c r="C27" s="8">
        <v>92.1</v>
      </c>
      <c r="D27" s="8">
        <v>77.5</v>
      </c>
      <c r="E27" s="12">
        <f t="shared" si="0"/>
        <v>-14.599999999999994</v>
      </c>
    </row>
    <row r="28" spans="2:5" x14ac:dyDescent="0.25">
      <c r="B28" s="7">
        <v>1719</v>
      </c>
      <c r="C28" s="8">
        <v>95</v>
      </c>
      <c r="D28" s="8">
        <v>77.099999999999994</v>
      </c>
      <c r="E28" s="12">
        <f t="shared" si="0"/>
        <v>-17.900000000000006</v>
      </c>
    </row>
    <row r="29" spans="2:5" x14ac:dyDescent="0.25">
      <c r="B29" s="7">
        <v>1720</v>
      </c>
      <c r="C29" s="8">
        <v>97.9</v>
      </c>
      <c r="D29" s="8">
        <v>76.7</v>
      </c>
      <c r="E29" s="12">
        <f t="shared" si="0"/>
        <v>-21.200000000000003</v>
      </c>
    </row>
    <row r="30" spans="2:5" x14ac:dyDescent="0.25">
      <c r="B30" s="7">
        <v>1721</v>
      </c>
      <c r="C30" s="8">
        <v>100</v>
      </c>
      <c r="D30" s="8">
        <v>76</v>
      </c>
      <c r="E30" s="12">
        <f t="shared" si="0"/>
        <v>-24</v>
      </c>
    </row>
    <row r="31" spans="2:5" x14ac:dyDescent="0.25">
      <c r="B31" s="7">
        <v>1722</v>
      </c>
      <c r="C31" s="8">
        <v>101.4</v>
      </c>
      <c r="D31" s="8">
        <v>75.3</v>
      </c>
      <c r="E31" s="12">
        <f t="shared" si="0"/>
        <v>-26.100000000000009</v>
      </c>
    </row>
    <row r="32" spans="2:5" x14ac:dyDescent="0.25">
      <c r="B32" s="7">
        <v>1723</v>
      </c>
      <c r="C32" s="8">
        <v>102.7</v>
      </c>
      <c r="D32" s="8">
        <v>74.7</v>
      </c>
      <c r="E32" s="12">
        <f t="shared" si="0"/>
        <v>-28</v>
      </c>
    </row>
    <row r="33" spans="2:5" x14ac:dyDescent="0.25">
      <c r="B33" s="7">
        <v>1724</v>
      </c>
      <c r="C33" s="8">
        <v>102.8</v>
      </c>
      <c r="D33" s="8">
        <v>73.8</v>
      </c>
      <c r="E33" s="12">
        <f t="shared" si="0"/>
        <v>-29</v>
      </c>
    </row>
    <row r="34" spans="2:5" x14ac:dyDescent="0.25">
      <c r="B34" s="7">
        <v>1725</v>
      </c>
      <c r="C34" s="8">
        <v>102</v>
      </c>
      <c r="D34" s="8">
        <v>73.099999999999994</v>
      </c>
      <c r="E34" s="12">
        <f t="shared" si="0"/>
        <v>-28.900000000000006</v>
      </c>
    </row>
    <row r="35" spans="2:5" x14ac:dyDescent="0.25">
      <c r="B35" s="7">
        <v>1726</v>
      </c>
      <c r="C35" s="8">
        <v>102.8</v>
      </c>
      <c r="D35" s="8">
        <v>72.099999999999994</v>
      </c>
      <c r="E35" s="12">
        <f t="shared" si="0"/>
        <v>-30.700000000000003</v>
      </c>
    </row>
    <row r="36" spans="2:5" x14ac:dyDescent="0.25">
      <c r="B36" s="7">
        <v>1727</v>
      </c>
      <c r="C36" s="8">
        <v>101.9</v>
      </c>
      <c r="D36" s="8">
        <v>70.599999999999994</v>
      </c>
      <c r="E36" s="12">
        <f t="shared" si="0"/>
        <v>-31.300000000000011</v>
      </c>
    </row>
    <row r="37" spans="2:5" x14ac:dyDescent="0.25">
      <c r="B37" s="7">
        <v>1728</v>
      </c>
      <c r="C37" s="8">
        <v>101</v>
      </c>
      <c r="D37" s="8">
        <v>68.900000000000006</v>
      </c>
      <c r="E37" s="12">
        <f t="shared" si="0"/>
        <v>-32.099999999999994</v>
      </c>
    </row>
    <row r="38" spans="2:5" x14ac:dyDescent="0.25">
      <c r="B38" s="7">
        <v>1729</v>
      </c>
      <c r="C38" s="8">
        <v>100.1</v>
      </c>
      <c r="D38" s="8">
        <v>67.400000000000006</v>
      </c>
      <c r="E38" s="12">
        <f t="shared" si="0"/>
        <v>-32.699999999999989</v>
      </c>
    </row>
    <row r="39" spans="2:5" x14ac:dyDescent="0.25">
      <c r="B39" s="7">
        <v>1730</v>
      </c>
      <c r="C39" s="8">
        <v>97.8</v>
      </c>
      <c r="D39" s="8">
        <v>65</v>
      </c>
      <c r="E39" s="12">
        <f t="shared" si="0"/>
        <v>-32.799999999999997</v>
      </c>
    </row>
    <row r="40" spans="2:5" x14ac:dyDescent="0.25">
      <c r="B40" s="7">
        <v>1731</v>
      </c>
      <c r="C40" s="8">
        <v>96.7</v>
      </c>
      <c r="D40" s="8">
        <v>63.5</v>
      </c>
      <c r="E40" s="12">
        <f t="shared" si="0"/>
        <v>-33.200000000000003</v>
      </c>
    </row>
    <row r="41" spans="2:5" x14ac:dyDescent="0.25">
      <c r="B41" s="7">
        <v>1732</v>
      </c>
      <c r="C41" s="8">
        <v>95.2</v>
      </c>
      <c r="D41" s="8">
        <v>62.4</v>
      </c>
      <c r="E41" s="12">
        <f t="shared" ref="E41:E72" si="1">D41-C41</f>
        <v>-32.800000000000004</v>
      </c>
    </row>
    <row r="42" spans="2:5" x14ac:dyDescent="0.25">
      <c r="B42" s="7">
        <v>1733</v>
      </c>
      <c r="C42" s="8">
        <v>94.3</v>
      </c>
      <c r="D42" s="8">
        <v>61.5</v>
      </c>
      <c r="E42" s="12">
        <f t="shared" si="1"/>
        <v>-32.799999999999997</v>
      </c>
    </row>
    <row r="43" spans="2:5" x14ac:dyDescent="0.25">
      <c r="B43" s="7">
        <v>1734</v>
      </c>
      <c r="C43" s="8">
        <v>94</v>
      </c>
      <c r="D43" s="8">
        <v>61.4</v>
      </c>
      <c r="E43" s="12">
        <f t="shared" si="1"/>
        <v>-32.6</v>
      </c>
    </row>
    <row r="44" spans="2:5" x14ac:dyDescent="0.25">
      <c r="B44" s="7">
        <v>1735</v>
      </c>
      <c r="C44" s="8">
        <v>93.4</v>
      </c>
      <c r="D44" s="8">
        <v>61.4</v>
      </c>
      <c r="E44" s="12">
        <f t="shared" si="1"/>
        <v>-32.000000000000007</v>
      </c>
    </row>
    <row r="45" spans="2:5" x14ac:dyDescent="0.25">
      <c r="B45" s="7">
        <v>1736</v>
      </c>
      <c r="C45" s="8">
        <v>93.6</v>
      </c>
      <c r="D45" s="8">
        <v>61.3</v>
      </c>
      <c r="E45" s="12">
        <f t="shared" si="1"/>
        <v>-32.299999999999997</v>
      </c>
    </row>
    <row r="46" spans="2:5" x14ac:dyDescent="0.25">
      <c r="B46" s="7">
        <v>1737</v>
      </c>
      <c r="C46" s="8">
        <v>93.5</v>
      </c>
      <c r="D46" s="8">
        <v>62</v>
      </c>
      <c r="E46" s="12">
        <f t="shared" si="1"/>
        <v>-31.5</v>
      </c>
    </row>
    <row r="47" spans="2:5" x14ac:dyDescent="0.25">
      <c r="B47" s="7">
        <v>1738</v>
      </c>
      <c r="C47" s="8">
        <v>93.4</v>
      </c>
      <c r="D47" s="8">
        <v>63</v>
      </c>
      <c r="E47" s="12">
        <f t="shared" si="1"/>
        <v>-30.400000000000006</v>
      </c>
    </row>
    <row r="48" spans="2:5" x14ac:dyDescent="0.25">
      <c r="B48" s="7">
        <v>1739</v>
      </c>
      <c r="C48" s="8">
        <v>93.5</v>
      </c>
      <c r="D48" s="8">
        <v>64.3</v>
      </c>
      <c r="E48" s="12">
        <f t="shared" si="1"/>
        <v>-29.200000000000003</v>
      </c>
    </row>
    <row r="49" spans="2:5" x14ac:dyDescent="0.25">
      <c r="B49" s="7">
        <v>1740</v>
      </c>
      <c r="C49" s="8">
        <v>93.5</v>
      </c>
      <c r="D49" s="8">
        <v>66</v>
      </c>
      <c r="E49" s="12">
        <f t="shared" si="1"/>
        <v>-27.5</v>
      </c>
    </row>
    <row r="50" spans="2:5" x14ac:dyDescent="0.25">
      <c r="B50" s="7">
        <v>1741</v>
      </c>
      <c r="C50" s="8">
        <v>93.7</v>
      </c>
      <c r="D50" s="8">
        <v>68</v>
      </c>
      <c r="E50" s="12">
        <f t="shared" si="1"/>
        <v>-25.700000000000003</v>
      </c>
    </row>
    <row r="51" spans="2:5" x14ac:dyDescent="0.25">
      <c r="B51" s="7">
        <v>1742</v>
      </c>
      <c r="C51" s="8">
        <v>93.9</v>
      </c>
      <c r="D51" s="8">
        <v>70.2</v>
      </c>
      <c r="E51" s="12">
        <f t="shared" si="1"/>
        <v>-23.700000000000003</v>
      </c>
    </row>
    <row r="52" spans="2:5" x14ac:dyDescent="0.25">
      <c r="B52" s="7">
        <v>1743</v>
      </c>
      <c r="C52" s="8">
        <v>93.5</v>
      </c>
      <c r="D52" s="8">
        <v>72.5</v>
      </c>
      <c r="E52" s="12">
        <f t="shared" si="1"/>
        <v>-21</v>
      </c>
    </row>
    <row r="53" spans="2:5" x14ac:dyDescent="0.25">
      <c r="B53" s="7">
        <v>1744</v>
      </c>
      <c r="C53" s="8">
        <v>93.3</v>
      </c>
      <c r="D53" s="8">
        <v>73.900000000000006</v>
      </c>
      <c r="E53" s="12">
        <f t="shared" si="1"/>
        <v>-19.399999999999991</v>
      </c>
    </row>
    <row r="54" spans="2:5" x14ac:dyDescent="0.25">
      <c r="B54" s="7">
        <v>1745</v>
      </c>
      <c r="C54" s="8">
        <v>93</v>
      </c>
      <c r="D54" s="8">
        <v>74.7</v>
      </c>
      <c r="E54" s="12">
        <f t="shared" si="1"/>
        <v>-18.299999999999997</v>
      </c>
    </row>
    <row r="55" spans="2:5" x14ac:dyDescent="0.25">
      <c r="B55" s="7">
        <v>1746</v>
      </c>
      <c r="C55" s="8">
        <v>92.3</v>
      </c>
      <c r="D55" s="8">
        <v>75.3</v>
      </c>
      <c r="E55" s="12">
        <f t="shared" si="1"/>
        <v>-17</v>
      </c>
    </row>
    <row r="56" spans="2:5" x14ac:dyDescent="0.25">
      <c r="B56" s="7">
        <v>1747</v>
      </c>
      <c r="C56" s="8">
        <v>92.5</v>
      </c>
      <c r="D56" s="8">
        <v>75.900000000000006</v>
      </c>
      <c r="E56" s="12">
        <f t="shared" si="1"/>
        <v>-16.599999999999994</v>
      </c>
    </row>
    <row r="57" spans="2:5" x14ac:dyDescent="0.25">
      <c r="B57" s="7">
        <v>1748</v>
      </c>
      <c r="C57" s="8">
        <v>92.1</v>
      </c>
      <c r="D57" s="8">
        <v>76.3</v>
      </c>
      <c r="E57" s="12">
        <f t="shared" si="1"/>
        <v>-15.799999999999997</v>
      </c>
    </row>
    <row r="58" spans="2:5" x14ac:dyDescent="0.25">
      <c r="B58" s="7">
        <v>1749</v>
      </c>
      <c r="C58" s="8">
        <v>91.5</v>
      </c>
      <c r="D58" s="8">
        <v>77.2</v>
      </c>
      <c r="E58" s="12">
        <f t="shared" si="1"/>
        <v>-14.299999999999997</v>
      </c>
    </row>
    <row r="59" spans="2:5" x14ac:dyDescent="0.25">
      <c r="B59" s="7">
        <v>1750</v>
      </c>
      <c r="C59" s="8">
        <v>90.9</v>
      </c>
      <c r="D59" s="8">
        <v>78.2</v>
      </c>
      <c r="E59" s="12">
        <f t="shared" si="1"/>
        <v>-12.700000000000003</v>
      </c>
    </row>
    <row r="60" spans="2:5" x14ac:dyDescent="0.25">
      <c r="B60" s="7">
        <v>1751</v>
      </c>
      <c r="C60" s="8">
        <v>90</v>
      </c>
      <c r="D60" s="8">
        <v>79.2</v>
      </c>
      <c r="E60" s="12">
        <f t="shared" si="1"/>
        <v>-10.799999999999997</v>
      </c>
    </row>
    <row r="61" spans="2:5" x14ac:dyDescent="0.25">
      <c r="B61" s="7">
        <v>1752</v>
      </c>
      <c r="C61" s="8">
        <v>87.9</v>
      </c>
      <c r="D61" s="8">
        <v>80.099999999999994</v>
      </c>
      <c r="E61" s="12">
        <f t="shared" si="1"/>
        <v>-7.8000000000000114</v>
      </c>
    </row>
    <row r="62" spans="2:5" x14ac:dyDescent="0.25">
      <c r="B62" s="7">
        <v>1753</v>
      </c>
      <c r="C62" s="8">
        <v>84.8</v>
      </c>
      <c r="D62" s="8">
        <v>80.7</v>
      </c>
      <c r="E62" s="12">
        <f t="shared" si="1"/>
        <v>-4.0999999999999943</v>
      </c>
    </row>
    <row r="63" spans="2:5" x14ac:dyDescent="0.25">
      <c r="B63" s="7">
        <v>1754</v>
      </c>
      <c r="C63" s="8">
        <v>82.9</v>
      </c>
      <c r="D63" s="8">
        <v>81.3</v>
      </c>
      <c r="E63" s="12">
        <f t="shared" si="1"/>
        <v>-1.6000000000000085</v>
      </c>
    </row>
    <row r="64" spans="2:5" x14ac:dyDescent="0.25">
      <c r="B64" s="7">
        <v>1755</v>
      </c>
      <c r="C64" s="8">
        <v>79.8</v>
      </c>
      <c r="D64" s="8">
        <v>84</v>
      </c>
      <c r="E64" s="12">
        <f t="shared" si="1"/>
        <v>4.2000000000000028</v>
      </c>
    </row>
    <row r="65" spans="2:5" x14ac:dyDescent="0.25">
      <c r="B65" s="7">
        <v>1756</v>
      </c>
      <c r="C65" s="8">
        <v>78.400000000000006</v>
      </c>
      <c r="D65" s="8">
        <v>86.8</v>
      </c>
      <c r="E65" s="12">
        <f t="shared" si="1"/>
        <v>8.3999999999999915</v>
      </c>
    </row>
    <row r="66" spans="2:5" x14ac:dyDescent="0.25">
      <c r="B66" s="7">
        <v>1757</v>
      </c>
      <c r="C66" s="8">
        <v>78</v>
      </c>
      <c r="D66" s="8">
        <v>92.1</v>
      </c>
      <c r="E66" s="12">
        <f t="shared" si="1"/>
        <v>14.099999999999994</v>
      </c>
    </row>
    <row r="67" spans="2:5" x14ac:dyDescent="0.25">
      <c r="B67" s="7">
        <v>1758</v>
      </c>
      <c r="C67" s="8">
        <v>77.5</v>
      </c>
      <c r="D67" s="8">
        <v>97.9</v>
      </c>
      <c r="E67" s="12">
        <f t="shared" si="1"/>
        <v>20.400000000000006</v>
      </c>
    </row>
    <row r="68" spans="2:5" x14ac:dyDescent="0.25">
      <c r="B68" s="7">
        <v>1759</v>
      </c>
      <c r="C68" s="8">
        <v>77.400000000000006</v>
      </c>
      <c r="D68" s="8">
        <v>105.4</v>
      </c>
      <c r="E68" s="12">
        <f t="shared" si="1"/>
        <v>28</v>
      </c>
    </row>
    <row r="69" spans="2:5" x14ac:dyDescent="0.25">
      <c r="B69" s="7">
        <v>1760</v>
      </c>
      <c r="C69" s="8">
        <v>77.400000000000006</v>
      </c>
      <c r="D69" s="8">
        <v>119.3</v>
      </c>
      <c r="E69" s="12">
        <f t="shared" si="1"/>
        <v>41.899999999999991</v>
      </c>
    </row>
    <row r="70" spans="2:5" x14ac:dyDescent="0.25">
      <c r="B70" s="7">
        <v>1761</v>
      </c>
      <c r="C70" s="8">
        <v>77.599999999999994</v>
      </c>
      <c r="D70" s="8">
        <v>127.9</v>
      </c>
      <c r="E70" s="12">
        <f t="shared" si="1"/>
        <v>50.300000000000011</v>
      </c>
    </row>
    <row r="71" spans="2:5" x14ac:dyDescent="0.25">
      <c r="B71" s="7">
        <v>1762</v>
      </c>
      <c r="C71" s="8">
        <v>78</v>
      </c>
      <c r="D71" s="8">
        <v>135.6</v>
      </c>
      <c r="E71" s="12">
        <f t="shared" si="1"/>
        <v>57.599999999999994</v>
      </c>
    </row>
    <row r="72" spans="2:5" x14ac:dyDescent="0.25">
      <c r="B72" s="7">
        <v>1763</v>
      </c>
      <c r="C72" s="8">
        <v>78.2</v>
      </c>
      <c r="D72" s="8">
        <v>142.6</v>
      </c>
      <c r="E72" s="12">
        <f t="shared" si="1"/>
        <v>64.399999999999991</v>
      </c>
    </row>
    <row r="73" spans="2:5" x14ac:dyDescent="0.25">
      <c r="B73" s="7">
        <v>1764</v>
      </c>
      <c r="C73" s="8">
        <v>78.7</v>
      </c>
      <c r="D73" s="8">
        <v>146.5</v>
      </c>
      <c r="E73" s="12">
        <f t="shared" ref="E73:E104" si="2">D73-C73</f>
        <v>67.8</v>
      </c>
    </row>
    <row r="74" spans="2:5" x14ac:dyDescent="0.25">
      <c r="B74" s="7">
        <v>1765</v>
      </c>
      <c r="C74" s="8">
        <v>79.3</v>
      </c>
      <c r="D74" s="8">
        <v>150.69999999999999</v>
      </c>
      <c r="E74" s="12">
        <f t="shared" si="2"/>
        <v>71.399999999999991</v>
      </c>
    </row>
    <row r="75" spans="2:5" x14ac:dyDescent="0.25">
      <c r="B75" s="7">
        <v>1766</v>
      </c>
      <c r="C75" s="8">
        <v>80.2</v>
      </c>
      <c r="D75" s="8">
        <v>152.80000000000001</v>
      </c>
      <c r="E75" s="12">
        <f t="shared" si="2"/>
        <v>72.600000000000009</v>
      </c>
    </row>
    <row r="76" spans="2:5" x14ac:dyDescent="0.25">
      <c r="B76" s="7">
        <v>1767</v>
      </c>
      <c r="C76" s="8">
        <v>81.2</v>
      </c>
      <c r="D76" s="8">
        <v>156</v>
      </c>
      <c r="E76" s="12">
        <f t="shared" si="2"/>
        <v>74.8</v>
      </c>
    </row>
    <row r="77" spans="2:5" x14ac:dyDescent="0.25">
      <c r="B77" s="7">
        <v>1768</v>
      </c>
      <c r="C77" s="8">
        <v>82</v>
      </c>
      <c r="D77" s="8">
        <v>159.30000000000001</v>
      </c>
      <c r="E77" s="12">
        <f t="shared" si="2"/>
        <v>77.300000000000011</v>
      </c>
    </row>
    <row r="78" spans="2:5" x14ac:dyDescent="0.25">
      <c r="B78" s="7">
        <v>1769</v>
      </c>
      <c r="C78" s="8">
        <v>82.9</v>
      </c>
      <c r="D78" s="8">
        <v>162.1</v>
      </c>
      <c r="E78" s="12">
        <f t="shared" si="2"/>
        <v>79.199999999999989</v>
      </c>
    </row>
    <row r="79" spans="2:5" x14ac:dyDescent="0.25">
      <c r="B79" s="7">
        <v>1770</v>
      </c>
      <c r="C79" s="8">
        <v>84</v>
      </c>
      <c r="D79" s="8">
        <v>164.2</v>
      </c>
      <c r="E79" s="12">
        <f t="shared" si="2"/>
        <v>80.199999999999989</v>
      </c>
    </row>
    <row r="80" spans="2:5" x14ac:dyDescent="0.25">
      <c r="B80" s="7">
        <v>1771</v>
      </c>
      <c r="C80" s="8">
        <v>85.9</v>
      </c>
      <c r="D80" s="8">
        <v>166.6</v>
      </c>
      <c r="E80" s="12">
        <f t="shared" si="2"/>
        <v>80.699999999999989</v>
      </c>
    </row>
    <row r="81" spans="2:5" x14ac:dyDescent="0.25">
      <c r="B81" s="7">
        <v>1772</v>
      </c>
      <c r="C81" s="8">
        <v>87.3</v>
      </c>
      <c r="D81" s="8">
        <v>169.2</v>
      </c>
      <c r="E81" s="12">
        <f t="shared" si="2"/>
        <v>81.899999999999991</v>
      </c>
    </row>
    <row r="82" spans="2:5" x14ac:dyDescent="0.25">
      <c r="B82" s="7">
        <v>1773</v>
      </c>
      <c r="C82" s="8">
        <v>89</v>
      </c>
      <c r="D82" s="8">
        <v>172.5</v>
      </c>
      <c r="E82" s="12">
        <f t="shared" si="2"/>
        <v>83.5</v>
      </c>
    </row>
    <row r="83" spans="2:5" x14ac:dyDescent="0.25">
      <c r="B83" s="7">
        <v>1774</v>
      </c>
      <c r="C83" s="8">
        <v>90.6</v>
      </c>
      <c r="D83" s="8">
        <v>175.8</v>
      </c>
      <c r="E83" s="12">
        <f t="shared" si="2"/>
        <v>85.200000000000017</v>
      </c>
    </row>
    <row r="84" spans="2:5" x14ac:dyDescent="0.25">
      <c r="B84" s="7">
        <v>1775</v>
      </c>
      <c r="C84" s="8">
        <v>91.5</v>
      </c>
      <c r="D84" s="8">
        <v>178.8</v>
      </c>
      <c r="E84" s="12">
        <f t="shared" si="2"/>
        <v>87.300000000000011</v>
      </c>
    </row>
    <row r="85" spans="2:5" x14ac:dyDescent="0.25">
      <c r="B85" s="7">
        <v>1776</v>
      </c>
      <c r="C85" s="8">
        <v>91.6</v>
      </c>
      <c r="D85" s="8">
        <v>181.5</v>
      </c>
      <c r="E85" s="12">
        <f t="shared" si="2"/>
        <v>89.9</v>
      </c>
    </row>
    <row r="86" spans="2:5" x14ac:dyDescent="0.25">
      <c r="B86" s="7">
        <v>1777</v>
      </c>
      <c r="C86" s="8">
        <v>92</v>
      </c>
      <c r="D86" s="8">
        <v>183.4</v>
      </c>
      <c r="E86" s="12">
        <f t="shared" si="2"/>
        <v>91.4</v>
      </c>
    </row>
    <row r="87" spans="2:5" x14ac:dyDescent="0.25">
      <c r="B87" s="7">
        <v>1778</v>
      </c>
      <c r="C87" s="8">
        <v>92</v>
      </c>
      <c r="D87" s="8">
        <v>184.8</v>
      </c>
      <c r="E87" s="12">
        <f t="shared" si="2"/>
        <v>92.800000000000011</v>
      </c>
    </row>
    <row r="88" spans="2:5" x14ac:dyDescent="0.25">
      <c r="B88" s="7">
        <v>1779</v>
      </c>
      <c r="C88" s="8">
        <v>92.3</v>
      </c>
      <c r="D88" s="8">
        <v>186</v>
      </c>
      <c r="E88" s="12">
        <f t="shared" si="2"/>
        <v>93.7</v>
      </c>
    </row>
    <row r="89" spans="2:5" x14ac:dyDescent="0.25">
      <c r="B89" s="7">
        <v>1780</v>
      </c>
      <c r="C89" s="8">
        <v>92.7</v>
      </c>
      <c r="D89" s="8">
        <v>186.7</v>
      </c>
      <c r="E89" s="12">
        <f t="shared" si="2"/>
        <v>93.999999999999986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Playfair_1786</vt:lpstr>
      <vt:lpstr>Balance</vt:lpstr>
      <vt:lpstr>Deviation</vt:lpstr>
      <vt:lpstr>Data_Trade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2026-08-18T07:59:51Z</dcterms:created>
  <dcterms:modified xsi:type="dcterms:W3CDTF">2026-09-14T14:52:25Z</dcterms:modified>
</cp:coreProperties>
</file>