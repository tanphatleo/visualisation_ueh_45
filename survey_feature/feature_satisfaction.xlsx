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45_min\survey_feature\"/>
    </mc:Choice>
  </mc:AlternateContent>
  <xr:revisionPtr revIDLastSave="0" documentId="13_ncr:1_{7928F776-D6DB-47DD-A7D3-8FDA2CB611A5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Data" sheetId="1" r:id="rId1"/>
    <sheet name="1 All six" sheetId="2" r:id="rId2"/>
    <sheet name="2 Top two" sheetId="3" r:id="rId3"/>
    <sheet name="3 Dissatisfied" sheetId="4" r:id="rId4"/>
    <sheet name="4 Not used" sheetId="5" r:id="rId5"/>
    <sheet name="5 Annotated" sheetId="6" r:id="rId6"/>
    <sheet name="6 Action map" sheetId="7" r:id="rId7"/>
    <sheet name="7 Satisfaction ma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55" i="4"/>
  <c r="G55" i="4"/>
  <c r="F55" i="4"/>
  <c r="E55" i="4"/>
  <c r="D55" i="4"/>
  <c r="C55" i="4"/>
  <c r="B55" i="4"/>
  <c r="H54" i="4"/>
  <c r="G54" i="4"/>
  <c r="F54" i="4"/>
  <c r="E54" i="4"/>
  <c r="D54" i="4"/>
  <c r="C54" i="4"/>
  <c r="B54" i="4"/>
  <c r="H53" i="4"/>
  <c r="G53" i="4"/>
  <c r="F53" i="4"/>
  <c r="E53" i="4"/>
  <c r="D53" i="4"/>
  <c r="C53" i="4"/>
  <c r="B53" i="4"/>
  <c r="H52" i="4"/>
  <c r="G52" i="4"/>
  <c r="F52" i="4"/>
  <c r="E52" i="4"/>
  <c r="D52" i="4"/>
  <c r="C52" i="4"/>
  <c r="B52" i="4"/>
  <c r="H51" i="4"/>
  <c r="G51" i="4"/>
  <c r="F51" i="4"/>
  <c r="E51" i="4"/>
  <c r="D51" i="4"/>
  <c r="C51" i="4"/>
  <c r="B51" i="4"/>
  <c r="H50" i="4"/>
  <c r="G50" i="4"/>
  <c r="F50" i="4"/>
  <c r="E50" i="4"/>
  <c r="D50" i="4"/>
  <c r="C50" i="4"/>
  <c r="B50" i="4"/>
  <c r="H49" i="4"/>
  <c r="G49" i="4"/>
  <c r="F49" i="4"/>
  <c r="E49" i="4"/>
  <c r="D49" i="4"/>
  <c r="C49" i="4"/>
  <c r="B49" i="4"/>
  <c r="H48" i="4"/>
  <c r="G48" i="4"/>
  <c r="F48" i="4"/>
  <c r="E48" i="4"/>
  <c r="D48" i="4"/>
  <c r="C48" i="4"/>
  <c r="B48" i="4"/>
  <c r="H47" i="4"/>
  <c r="G47" i="4"/>
  <c r="F47" i="4"/>
  <c r="E47" i="4"/>
  <c r="D47" i="4"/>
  <c r="C47" i="4"/>
  <c r="B47" i="4"/>
  <c r="H46" i="4"/>
  <c r="G46" i="4"/>
  <c r="F46" i="4"/>
  <c r="E46" i="4"/>
  <c r="D46" i="4"/>
  <c r="C46" i="4"/>
  <c r="B46" i="4"/>
  <c r="H45" i="4"/>
  <c r="G45" i="4"/>
  <c r="F45" i="4"/>
  <c r="E45" i="4"/>
  <c r="D45" i="4"/>
  <c r="C45" i="4"/>
  <c r="B45" i="4"/>
  <c r="H44" i="4"/>
  <c r="G44" i="4"/>
  <c r="F44" i="4"/>
  <c r="E44" i="4"/>
  <c r="D44" i="4"/>
  <c r="C44" i="4"/>
  <c r="B44" i="4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J23" i="1"/>
  <c r="L23" i="1" s="1"/>
  <c r="J22" i="1"/>
  <c r="L22" i="1" s="1"/>
  <c r="J21" i="1"/>
  <c r="K21" i="1" s="1"/>
  <c r="J20" i="1"/>
  <c r="L20" i="1" s="1"/>
  <c r="J19" i="1"/>
  <c r="L19" i="1" s="1"/>
  <c r="J18" i="1"/>
  <c r="K18" i="1" s="1"/>
  <c r="J17" i="1"/>
  <c r="L17" i="1" s="1"/>
  <c r="J16" i="1"/>
  <c r="L16" i="1" s="1"/>
  <c r="J15" i="1"/>
  <c r="L15" i="1" s="1"/>
  <c r="J14" i="1"/>
  <c r="L14" i="1" s="1"/>
  <c r="J13" i="1"/>
  <c r="L13" i="1" s="1"/>
  <c r="J12" i="1"/>
  <c r="K12" i="1" s="1"/>
  <c r="J11" i="1"/>
  <c r="L11" i="1" s="1"/>
  <c r="J10" i="1"/>
  <c r="L10" i="1" s="1"/>
  <c r="J9" i="1"/>
  <c r="L18" i="1" l="1"/>
  <c r="K19" i="1"/>
  <c r="L12" i="1"/>
  <c r="K20" i="1"/>
  <c r="K14" i="1"/>
  <c r="L21" i="1"/>
  <c r="K15" i="1"/>
  <c r="K22" i="1"/>
  <c r="K16" i="1"/>
  <c r="K23" i="1"/>
  <c r="K10" i="1"/>
  <c r="K17" i="1"/>
  <c r="K11" i="1"/>
  <c r="K13" i="1"/>
</calcChain>
</file>

<file path=xl/sharedStrings.xml><?xml version="1.0" encoding="utf-8"?>
<sst xmlns="http://schemas.openxmlformats.org/spreadsheetml/2006/main" count="78" uniqueCount="61">
  <si>
    <t>How satisfied have you been with each of these features?</t>
  </si>
  <si>
    <t>Product X user satisfaction: features — % of respondents</t>
  </si>
  <si>
    <t>Feature names are illustrative. Percentages are transcribed from the reference survey chart; every row sums to 100.</t>
  </si>
  <si>
    <t>Feature</t>
  </si>
  <si>
    <t>Have not used</t>
  </si>
  <si>
    <t>Not satisfied at all</t>
  </si>
  <si>
    <t>Not very satisfied</t>
  </si>
  <si>
    <t>Somewhat satisfied</t>
  </si>
  <si>
    <t>Very satisfied</t>
  </si>
  <si>
    <t>Completely satisfied</t>
  </si>
  <si>
    <t>Usage</t>
  </si>
  <si>
    <t>Satisfied of users</t>
  </si>
  <si>
    <t>Dissatisfied of users</t>
  </si>
  <si>
    <t>Search</t>
  </si>
  <si>
    <t>Mobile app</t>
  </si>
  <si>
    <t>Notifications</t>
  </si>
  <si>
    <t>File sharing</t>
  </si>
  <si>
    <t>Calendar sync</t>
  </si>
  <si>
    <t>Dashboards</t>
  </si>
  <si>
    <t>Task comments</t>
  </si>
  <si>
    <t>Templates</t>
  </si>
  <si>
    <t>Time tracking</t>
  </si>
  <si>
    <t>Bulk edit</t>
  </si>
  <si>
    <t>Custom fields</t>
  </si>
  <si>
    <t>Automations</t>
  </si>
  <si>
    <t>Report export</t>
  </si>
  <si>
    <t>Guest access</t>
  </si>
  <si>
    <t>API access</t>
  </si>
  <si>
    <t>Each row totals 100%</t>
  </si>
  <si>
    <t>Usage = every answer except 'have not used'. Both rates are taken over USAGE, not over all respondents — a feature half the base has never opened is judged on what its actual users think.</t>
  </si>
  <si>
    <t>Six ordered answers on one hue. Readable — but only the leftmost block starts at a common edge, so the two categories that matter float, and no two bars can be compared by length.</t>
  </si>
  <si>
    <t>SEARCH and MOBILE APP has highest user satisfaction</t>
  </si>
  <si>
    <t>User satisfaction (%) by features</t>
  </si>
  <si>
    <t>Same numbers. 'Completely satisfied' is plotted first, so every positive block starts at zero and the bars can finally be compared to each other. Everything else recedes to grey.</t>
  </si>
  <si>
    <t>GUEST ACCESS and BULK EDIT draw the most dissatisfaction</t>
  </si>
  <si>
    <t>Not very or not at all satisfied (%) by feature</t>
  </si>
  <si>
    <t>The same move as sheet 2, pointed at the other end of the scale. Both unhappy answers share one orange: the question is how much dissatisfaction there is, not how it splits between two grades.</t>
  </si>
  <si>
    <t>Ranked copy of the table, most dissatisfied first. Live formulas back to Data — the values follow an edit, the ORDER does not.</t>
  </si>
  <si>
    <t>API ACCESS is barely used — half have never touched it</t>
  </si>
  <si>
    <t>Have not used the feature (%), by feature</t>
  </si>
  <si>
    <t>Non-use is not dissatisfaction, so it gets its own colour and its own chart. A feature half the base has never opened cannot be judged on its satisfaction score at all. API access is lit; the other fourteen bars are the same hue one step lighter, so the ranking is still readable without competing with the point.</t>
  </si>
  <si>
    <t>Ranked copy of the table, least used first. Live formulas back to Data — the values follow an edit, the ORDER does not.</t>
  </si>
  <si>
    <t>User satisfaction varies greatly by feature</t>
  </si>
  <si>
    <t>Product X user satisfaction: features</t>
  </si>
  <si>
    <t>Search and the mobile app continue to top user satisfaction.</t>
  </si>
  <si>
    <t>Users are least satisfied with bulk edit and guest access. What improvements can we make here for a better experience?</t>
  </si>
  <si>
    <t>API access is least used — half have never touched it. What can we do to raise utilisation among existing users?</t>
  </si>
  <si>
    <t>Responses to "How satisfied have you been with each of these features?" Context still missing: how many people completed the survey, and what share of all users do they represent?</t>
  </si>
  <si>
    <t>BULK EDIT is the one to fix: heavily used and widely disliked</t>
  </si>
  <si>
    <t>Dissatisfied share of users (%) against reach (% of respondents using it)</t>
  </si>
  <si>
    <t>Custom fields and Automations sit on the SAME POINT here (73%, 9.6%) — identical usage and identical dissatisfaction. Their labels are pushed apart; the markers genuinely coincide.</t>
  </si>
  <si>
    <t>Helper: the two split lines, then one anchor per quadrant caption. Each is a chart series; none is data.</t>
  </si>
  <si>
    <t>TASK COMMENTS and TIME TRACKING are liked but under-adopted</t>
  </si>
  <si>
    <t>Satisfied share of users (%) against reach (% of respondents using it)</t>
  </si>
  <si>
    <t>The same plane read from the other side. Note it is NOT the mirror image: satisfaction and dissatisfaction do not sum to one, because 'somewhat satisfied' belongs to neither.</t>
  </si>
  <si>
    <t>#F4B183</t>
  </si>
  <si>
    <t>#ED7D31</t>
  </si>
  <si>
    <t>#0D7680</t>
  </si>
  <si>
    <t>#BF5700</t>
  </si>
  <si>
    <t>#0F5499</t>
  </si>
  <si>
    <t>#3F73A6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</si>
</sst>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10" x14ac:knownFonts="1">
    <font>
      <sz val="11"/>
      <color theme="1"/>
      <name val="Calibri"/>
      <family val="2"/>
      <scheme val="minor"/>
    </font>
    <font>
      <b/>
      <sz val="16"/>
      <color rgb="FF262A33"/>
      <name val="Aptos"/>
    </font>
    <font>
      <sz val="11"/>
      <color rgb="FF595959"/>
      <name val="Aptos"/>
    </font>
    <font>
      <i/>
      <sz val="10"/>
      <color rgb="FF595959"/>
      <name val="Aptos"/>
    </font>
    <font>
      <b/>
      <sz val="11"/>
      <color rgb="FFFFFFFF"/>
      <name val="Aptos"/>
    </font>
    <font>
      <sz val="11"/>
      <color rgb="FF262A33"/>
      <name val="Aptos"/>
    </font>
    <font>
      <sz val="11"/>
      <color rgb="FFFFFFFF"/>
      <name val="Aptos"/>
    </font>
    <font>
      <sz val="9"/>
      <color rgb="FF8C8C8C"/>
      <name val="Aptos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5499"/>
      </patternFill>
    </fill>
    <fill>
      <patternFill patternType="solid">
        <fgColor rgb="FF0F3762"/>
      </patternFill>
    </fill>
    <fill>
      <patternFill patternType="solid">
        <fgColor rgb="FFBF5700"/>
      </patternFill>
    </fill>
    <fill>
      <patternFill patternType="solid">
        <fgColor rgb="FF0D7680"/>
      </patternFill>
    </fill>
    <fill>
      <patternFill patternType="solid">
        <fgColor rgb="FFF4B18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F3762"/>
        <bgColor indexed="64"/>
      </patternFill>
    </fill>
    <fill>
      <patternFill patternType="solid">
        <fgColor rgb="FF0D7680"/>
        <bgColor indexed="64"/>
      </patternFill>
    </fill>
    <fill>
      <patternFill patternType="solid">
        <fgColor rgb="FFBF57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F5499"/>
        <bgColor indexed="64"/>
      </patternFill>
    </fill>
    <fill>
      <patternFill patternType="solid">
        <fgColor rgb="FF3F73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0" xfId="0" applyFont="1"/>
    <xf numFmtId="164" fontId="2" fillId="0" borderId="0" xfId="0" applyNumberFormat="1" applyFont="1" applyAlignment="1">
      <alignment horizontal="right"/>
    </xf>
    <xf numFmtId="0" fontId="7" fillId="0" borderId="0" xfId="0" applyFont="1"/>
    <xf numFmtId="0" fontId="0" fillId="6" borderId="0" xfId="0" applyFill="1"/>
    <xf numFmtId="0" fontId="0" fillId="7" borderId="0" xfId="0" applyFill="1"/>
    <xf numFmtId="0" fontId="9" fillId="8" borderId="0" xfId="0" applyFont="1" applyFill="1"/>
    <xf numFmtId="0" fontId="0" fillId="9" borderId="0" xfId="0" applyFill="1"/>
    <xf numFmtId="0" fontId="0" fillId="10" borderId="0" xfId="0" applyFill="1"/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right" vertical="center" wrapText="1"/>
    </xf>
    <xf numFmtId="0" fontId="5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0" fillId="12" borderId="0" xfId="0" applyFill="1"/>
    <xf numFmtId="0" fontId="0" fillId="13" borderId="0" xfId="0" applyFill="1"/>
    <xf numFmtId="9" fontId="2" fillId="0" borderId="1" xfId="1" applyFont="1" applyBorder="1" applyAlignment="1">
      <alignment horizontal="right"/>
    </xf>
    <xf numFmtId="0" fontId="6" fillId="5" borderId="0" xfId="0" applyFont="1" applyFill="1" applyAlignment="1">
      <alignment horizontal="left" vertical="center" wrapText="1" indent="1"/>
    </xf>
    <xf numFmtId="0" fontId="0" fillId="5" borderId="0" xfId="0" applyFill="1"/>
    <xf numFmtId="0" fontId="6" fillId="4" borderId="0" xfId="0" applyFont="1" applyFill="1" applyAlignment="1">
      <alignment horizontal="left" vertical="center" wrapText="1" indent="1"/>
    </xf>
    <xf numFmtId="0" fontId="0" fillId="4" borderId="0" xfId="0" applyFill="1"/>
    <xf numFmtId="0" fontId="6" fillId="3" borderId="0" xfId="0" applyFont="1" applyFill="1" applyAlignment="1">
      <alignment horizontal="left" vertical="center" wrapText="1" indent="1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0F3762"/>
      <color rgb="FFBF5700"/>
      <color rgb="FF3F73A6"/>
      <color rgb="FF0F5499"/>
      <color rgb="FF0D7680"/>
      <color rgb="FFED7D31"/>
      <color rgb="FFF4B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r>
              <a:rPr lang="en-US" sz="1600" b="1">
                <a:solidFill>
                  <a:srgbClr val="0F3762"/>
                </a:solidFill>
                <a:latin typeface="Aptos" panose="020B0004020202020204" pitchFamily="34" charset="0"/>
              </a:rPr>
              <a:t>How satisfied have you been with each of these features?</a:t>
            </a:r>
          </a:p>
          <a:p>
            <a:pPr algn="l">
              <a:defRPr sz="16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r>
              <a:rPr lang="en-US" sz="1200" b="0">
                <a:solidFill>
                  <a:srgbClr val="404040"/>
                </a:solidFill>
                <a:latin typeface="Aptos" panose="020B0004020202020204" pitchFamily="34" charset="0"/>
              </a:rPr>
              <a:t>Product X user satisfaction: features — % of respondents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D9D9D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B5-4913-95BB-2E6F725F8AC8}"/>
            </c:ext>
          </c:extLst>
        </c:ser>
        <c:ser>
          <c:idx val="1"/>
          <c:order val="1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8CFE4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6B5-4913-95BB-2E6F725F8AC8}"/>
            </c:ext>
          </c:extLst>
        </c:ser>
        <c:ser>
          <c:idx val="2"/>
          <c:order val="2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7FA6C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B5-4913-95BB-2E6F725F8A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B5-4913-95BB-2E6F725F8AC8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6B5-4913-95BB-2E6F725F8AC8}"/>
            </c:ext>
          </c:extLst>
        </c:ser>
        <c:ser>
          <c:idx val="3"/>
          <c:order val="3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3F73A6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FFFFFF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6B5-4913-95BB-2E6F725F8AC8}"/>
            </c:ext>
          </c:extLst>
        </c:ser>
        <c:ser>
          <c:idx val="4"/>
          <c:order val="4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0F549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FFFFFF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6B5-4913-95BB-2E6F725F8AC8}"/>
            </c:ext>
          </c:extLst>
        </c:ser>
        <c:ser>
          <c:idx val="5"/>
          <c:order val="5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0F376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FFFFFF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6B5-4913-95BB-2E6F725F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 b="0">
                <a:solidFill>
                  <a:srgbClr val="262A33"/>
                </a:solidFill>
                <a:latin typeface="Aptos" panose="020B0004020202020204" pitchFamily="34" charset="0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200" b="1">
                <a:solidFill>
                  <a:schemeClr val="tx1">
                    <a:lumMod val="50000"/>
                    <a:lumOff val="50000"/>
                  </a:schemeClr>
                </a:solidFill>
                <a:latin typeface="Aptos" panose="020B0004020202020204" pitchFamily="34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3F73A6"/>
                </a:solidFill>
                <a:latin typeface="Aptos" panose="020B0004020202020204" pitchFamily="34" charset="0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 b="1">
                <a:solidFill>
                  <a:srgbClr val="3F73A6"/>
                </a:solidFill>
                <a:latin typeface="Aptos" panose="020B0004020202020204" pitchFamily="34" charset="0"/>
              </a:defRPr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1200" b="1">
                <a:solidFill>
                  <a:srgbClr val="0F5499"/>
                </a:solidFill>
                <a:latin typeface="Aptos" panose="020B0004020202020204" pitchFamily="34" charset="0"/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2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endParaRPr lang="en-US"/>
          </a:p>
        </c:txPr>
      </c:legendEntry>
      <c:legendEntry>
        <c:idx val="5"/>
        <c:txPr>
          <a:bodyPr/>
          <a:lstStyle/>
          <a:p>
            <a:pPr>
              <a:defRPr sz="12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5.2243589743589747E-3"/>
          <c:y val="0.12897817460317459"/>
          <c:w val="0.9"/>
          <c:h val="5.1665277777777775E-2"/>
        </c:manualLayout>
      </c:layout>
      <c:overlay val="0"/>
      <c:txPr>
        <a:bodyPr/>
        <a:lstStyle/>
        <a:p>
          <a:pPr>
            <a:defRPr sz="1200" b="0">
              <a:solidFill>
                <a:srgbClr val="595959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/>
            </a:pPr>
            <a:r>
              <a:rPr lang="en-US" sz="1600">
                <a:solidFill>
                  <a:srgbClr val="0F3762"/>
                </a:solidFill>
              </a:rPr>
              <a:t>SEARCH and MOBILE APP has highest user satisfaction</a:t>
            </a:r>
          </a:p>
          <a:p>
            <a:pPr algn="l">
              <a:defRPr/>
            </a:pPr>
            <a:r>
              <a:rPr lang="en-US" sz="1200" b="0">
                <a:solidFill>
                  <a:schemeClr val="tx1">
                    <a:lumMod val="50000"/>
                    <a:lumOff val="50000"/>
                  </a:schemeClr>
                </a:solidFill>
              </a:rPr>
              <a:t>User satisfaction (%) by features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0F376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59-43DC-B025-666EBFD4E1C8}"/>
            </c:ext>
          </c:extLst>
        </c:ser>
        <c:ser>
          <c:idx val="1"/>
          <c:order val="1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0F376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59-43DC-B025-666EBFD4E1C8}"/>
            </c:ext>
          </c:extLst>
        </c:ser>
        <c:ser>
          <c:idx val="2"/>
          <c:order val="2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59-43DC-B025-666EBFD4E1C8}"/>
            </c:ext>
          </c:extLst>
        </c:ser>
        <c:ser>
          <c:idx val="3"/>
          <c:order val="3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C59-43DC-B025-666EBFD4E1C8}"/>
            </c:ext>
          </c:extLst>
        </c:ser>
        <c:ser>
          <c:idx val="4"/>
          <c:order val="4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C59-43DC-B025-666EBFD4E1C8}"/>
            </c:ext>
          </c:extLst>
        </c:ser>
        <c:ser>
          <c:idx val="5"/>
          <c:order val="5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EDEDE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C59-43DC-B025-666EBFD4E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200" b="1">
                <a:solidFill>
                  <a:srgbClr val="0F3762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0F3762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4.0705128205128201E-3"/>
          <c:y val="0.12617063492063493"/>
          <c:w val="0.86607905982905986"/>
          <c:h val="5.1670000000000001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/>
            </a:pPr>
            <a:r>
              <a:rPr lang="en-US" sz="1600">
                <a:solidFill>
                  <a:srgbClr val="BF5700"/>
                </a:solidFill>
              </a:rPr>
              <a:t>GUEST ACCESS and BULK EDIT draw the most dissatisfaction</a:t>
            </a:r>
          </a:p>
          <a:p>
            <a:pPr algn="l">
              <a:defRPr/>
            </a:pPr>
            <a:r>
              <a:rPr lang="en-US" sz="1200" b="0">
                <a:solidFill>
                  <a:schemeClr val="tx1">
                    <a:lumMod val="50000"/>
                    <a:lumOff val="50000"/>
                  </a:schemeClr>
                </a:solidFill>
              </a:rPr>
              <a:t>Not very or not at all satisfied (%) by feature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'3 Dissatisfied'!$D$40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F5700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38-42F0-8FF0-9FA7B085129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38-42F0-8FF0-9FA7B085129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38-42F0-8FF0-9FA7B085129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38-42F0-8FF0-9FA7B085129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38-42F0-8FF0-9FA7B085129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38-42F0-8FF0-9FA7B085129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38-42F0-8FF0-9FA7B0851298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Dissatisfied'!$B$41:$B$55</c:f>
              <c:strCache>
                <c:ptCount val="15"/>
                <c:pt idx="0">
                  <c:v>Guest access</c:v>
                </c:pt>
                <c:pt idx="1">
                  <c:v>Bulk edit</c:v>
                </c:pt>
                <c:pt idx="2">
                  <c:v>Report export</c:v>
                </c:pt>
                <c:pt idx="3">
                  <c:v>Templates</c:v>
                </c:pt>
                <c:pt idx="4">
                  <c:v>Calendar sync</c:v>
                </c:pt>
                <c:pt idx="5">
                  <c:v>Task comments</c:v>
                </c:pt>
                <c:pt idx="6">
                  <c:v>Time tracking</c:v>
                </c:pt>
                <c:pt idx="7">
                  <c:v>API access</c:v>
                </c:pt>
                <c:pt idx="8">
                  <c:v>Notifications</c:v>
                </c:pt>
                <c:pt idx="9">
                  <c:v>Dashboards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File sharing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'3 Dissatisfied'!$D$41:$D$55</c:f>
              <c:numCache>
                <c:formatCode>0"%"</c:formatCode>
                <c:ptCount val="15"/>
                <c:pt idx="0">
                  <c:v>9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9738-42F0-8FF0-9FA7B0851298}"/>
            </c:ext>
          </c:extLst>
        </c:ser>
        <c:ser>
          <c:idx val="1"/>
          <c:order val="1"/>
          <c:tx>
            <c:strRef>
              <c:f>'3 Dissatisfied'!$E$40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BF5700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Lbls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738-42F0-8FF0-9FA7B085129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38-42F0-8FF0-9FA7B0851298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 Dissatisfied'!$B$41:$B$55</c:f>
              <c:strCache>
                <c:ptCount val="15"/>
                <c:pt idx="0">
                  <c:v>Guest access</c:v>
                </c:pt>
                <c:pt idx="1">
                  <c:v>Bulk edit</c:v>
                </c:pt>
                <c:pt idx="2">
                  <c:v>Report export</c:v>
                </c:pt>
                <c:pt idx="3">
                  <c:v>Templates</c:v>
                </c:pt>
                <c:pt idx="4">
                  <c:v>Calendar sync</c:v>
                </c:pt>
                <c:pt idx="5">
                  <c:v>Task comments</c:v>
                </c:pt>
                <c:pt idx="6">
                  <c:v>Time tracking</c:v>
                </c:pt>
                <c:pt idx="7">
                  <c:v>API access</c:v>
                </c:pt>
                <c:pt idx="8">
                  <c:v>Notifications</c:v>
                </c:pt>
                <c:pt idx="9">
                  <c:v>Dashboards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File sharing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'3 Dissatisfied'!$E$41:$E$55</c:f>
              <c:numCache>
                <c:formatCode>0"%"</c:formatCode>
                <c:ptCount val="15"/>
                <c:pt idx="0">
                  <c:v>14</c:v>
                </c:pt>
                <c:pt idx="1">
                  <c:v>14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738-42F0-8FF0-9FA7B0851298}"/>
            </c:ext>
          </c:extLst>
        </c:ser>
        <c:ser>
          <c:idx val="2"/>
          <c:order val="2"/>
          <c:tx>
            <c:strRef>
              <c:f>'3 Dissatisfied'!$F$40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'3 Dissatisfied'!$B$41:$B$55</c:f>
              <c:strCache>
                <c:ptCount val="15"/>
                <c:pt idx="0">
                  <c:v>Guest access</c:v>
                </c:pt>
                <c:pt idx="1">
                  <c:v>Bulk edit</c:v>
                </c:pt>
                <c:pt idx="2">
                  <c:v>Report export</c:v>
                </c:pt>
                <c:pt idx="3">
                  <c:v>Templates</c:v>
                </c:pt>
                <c:pt idx="4">
                  <c:v>Calendar sync</c:v>
                </c:pt>
                <c:pt idx="5">
                  <c:v>Task comments</c:v>
                </c:pt>
                <c:pt idx="6">
                  <c:v>Time tracking</c:v>
                </c:pt>
                <c:pt idx="7">
                  <c:v>API access</c:v>
                </c:pt>
                <c:pt idx="8">
                  <c:v>Notifications</c:v>
                </c:pt>
                <c:pt idx="9">
                  <c:v>Dashboards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File sharing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'3 Dissatisfied'!$F$41:$F$55</c:f>
              <c:numCache>
                <c:formatCode>0"%"</c:formatCode>
                <c:ptCount val="15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23</c:v>
                </c:pt>
                <c:pt idx="4">
                  <c:v>23</c:v>
                </c:pt>
                <c:pt idx="5">
                  <c:v>15</c:v>
                </c:pt>
                <c:pt idx="6">
                  <c:v>17</c:v>
                </c:pt>
                <c:pt idx="7">
                  <c:v>15</c:v>
                </c:pt>
                <c:pt idx="8">
                  <c:v>24</c:v>
                </c:pt>
                <c:pt idx="9">
                  <c:v>20</c:v>
                </c:pt>
                <c:pt idx="10">
                  <c:v>17</c:v>
                </c:pt>
                <c:pt idx="11">
                  <c:v>23</c:v>
                </c:pt>
                <c:pt idx="12">
                  <c:v>21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738-42F0-8FF0-9FA7B0851298}"/>
            </c:ext>
          </c:extLst>
        </c:ser>
        <c:ser>
          <c:idx val="3"/>
          <c:order val="3"/>
          <c:tx>
            <c:strRef>
              <c:f>'3 Dissatisfied'!$G$40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'3 Dissatisfied'!$B$41:$B$55</c:f>
              <c:strCache>
                <c:ptCount val="15"/>
                <c:pt idx="0">
                  <c:v>Guest access</c:v>
                </c:pt>
                <c:pt idx="1">
                  <c:v>Bulk edit</c:v>
                </c:pt>
                <c:pt idx="2">
                  <c:v>Report export</c:v>
                </c:pt>
                <c:pt idx="3">
                  <c:v>Templates</c:v>
                </c:pt>
                <c:pt idx="4">
                  <c:v>Calendar sync</c:v>
                </c:pt>
                <c:pt idx="5">
                  <c:v>Task comments</c:v>
                </c:pt>
                <c:pt idx="6">
                  <c:v>Time tracking</c:v>
                </c:pt>
                <c:pt idx="7">
                  <c:v>API access</c:v>
                </c:pt>
                <c:pt idx="8">
                  <c:v>Notifications</c:v>
                </c:pt>
                <c:pt idx="9">
                  <c:v>Dashboards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File sharing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'3 Dissatisfied'!$G$41:$G$55</c:f>
              <c:numCache>
                <c:formatCode>0"%"</c:formatCode>
                <c:ptCount val="15"/>
                <c:pt idx="0">
                  <c:v>17</c:v>
                </c:pt>
                <c:pt idx="1">
                  <c:v>27</c:v>
                </c:pt>
                <c:pt idx="2">
                  <c:v>18</c:v>
                </c:pt>
                <c:pt idx="3">
                  <c:v>32</c:v>
                </c:pt>
                <c:pt idx="4">
                  <c:v>36</c:v>
                </c:pt>
                <c:pt idx="5">
                  <c:v>26</c:v>
                </c:pt>
                <c:pt idx="6">
                  <c:v>27</c:v>
                </c:pt>
                <c:pt idx="7">
                  <c:v>16</c:v>
                </c:pt>
                <c:pt idx="8">
                  <c:v>34</c:v>
                </c:pt>
                <c:pt idx="9">
                  <c:v>35</c:v>
                </c:pt>
                <c:pt idx="10">
                  <c:v>28</c:v>
                </c:pt>
                <c:pt idx="11">
                  <c:v>27</c:v>
                </c:pt>
                <c:pt idx="12">
                  <c:v>37</c:v>
                </c:pt>
                <c:pt idx="13">
                  <c:v>36</c:v>
                </c:pt>
                <c:pt idx="14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9738-42F0-8FF0-9FA7B0851298}"/>
            </c:ext>
          </c:extLst>
        </c:ser>
        <c:ser>
          <c:idx val="4"/>
          <c:order val="4"/>
          <c:tx>
            <c:strRef>
              <c:f>'3 Dissatisfied'!$H$40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'3 Dissatisfied'!$B$41:$B$55</c:f>
              <c:strCache>
                <c:ptCount val="15"/>
                <c:pt idx="0">
                  <c:v>Guest access</c:v>
                </c:pt>
                <c:pt idx="1">
                  <c:v>Bulk edit</c:v>
                </c:pt>
                <c:pt idx="2">
                  <c:v>Report export</c:v>
                </c:pt>
                <c:pt idx="3">
                  <c:v>Templates</c:v>
                </c:pt>
                <c:pt idx="4">
                  <c:v>Calendar sync</c:v>
                </c:pt>
                <c:pt idx="5">
                  <c:v>Task comments</c:v>
                </c:pt>
                <c:pt idx="6">
                  <c:v>Time tracking</c:v>
                </c:pt>
                <c:pt idx="7">
                  <c:v>API access</c:v>
                </c:pt>
                <c:pt idx="8">
                  <c:v>Notifications</c:v>
                </c:pt>
                <c:pt idx="9">
                  <c:v>Dashboards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File sharing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'3 Dissatisfied'!$H$41:$H$55</c:f>
              <c:numCache>
                <c:formatCode>0"%"</c:formatCode>
                <c:ptCount val="15"/>
                <c:pt idx="0">
                  <c:v>10</c:v>
                </c:pt>
                <c:pt idx="1">
                  <c:v>25</c:v>
                </c:pt>
                <c:pt idx="2">
                  <c:v>13</c:v>
                </c:pt>
                <c:pt idx="3">
                  <c:v>25</c:v>
                </c:pt>
                <c:pt idx="4">
                  <c:v>28</c:v>
                </c:pt>
                <c:pt idx="5">
                  <c:v>33</c:v>
                </c:pt>
                <c:pt idx="6">
                  <c:v>27</c:v>
                </c:pt>
                <c:pt idx="7">
                  <c:v>11</c:v>
                </c:pt>
                <c:pt idx="8">
                  <c:v>33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29</c:v>
                </c:pt>
                <c:pt idx="13">
                  <c:v>47</c:v>
                </c:pt>
                <c:pt idx="14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9738-42F0-8FF0-9FA7B0851298}"/>
            </c:ext>
          </c:extLst>
        </c:ser>
        <c:ser>
          <c:idx val="5"/>
          <c:order val="5"/>
          <c:tx>
            <c:strRef>
              <c:f>'3 Dissatisfied'!$C$40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EDEDE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'3 Dissatisfied'!$B$41:$B$55</c:f>
              <c:strCache>
                <c:ptCount val="15"/>
                <c:pt idx="0">
                  <c:v>Guest access</c:v>
                </c:pt>
                <c:pt idx="1">
                  <c:v>Bulk edit</c:v>
                </c:pt>
                <c:pt idx="2">
                  <c:v>Report export</c:v>
                </c:pt>
                <c:pt idx="3">
                  <c:v>Templates</c:v>
                </c:pt>
                <c:pt idx="4">
                  <c:v>Calendar sync</c:v>
                </c:pt>
                <c:pt idx="5">
                  <c:v>Task comments</c:v>
                </c:pt>
                <c:pt idx="6">
                  <c:v>Time tracking</c:v>
                </c:pt>
                <c:pt idx="7">
                  <c:v>API access</c:v>
                </c:pt>
                <c:pt idx="8">
                  <c:v>Notifications</c:v>
                </c:pt>
                <c:pt idx="9">
                  <c:v>Dashboards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File sharing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'3 Dissatisfied'!$C$41:$C$55</c:f>
              <c:numCache>
                <c:formatCode>0"%"</c:formatCode>
                <c:ptCount val="15"/>
                <c:pt idx="0">
                  <c:v>26</c:v>
                </c:pt>
                <c:pt idx="1">
                  <c:v>2</c:v>
                </c:pt>
                <c:pt idx="2">
                  <c:v>33</c:v>
                </c:pt>
                <c:pt idx="3">
                  <c:v>11</c:v>
                </c:pt>
                <c:pt idx="4">
                  <c:v>5</c:v>
                </c:pt>
                <c:pt idx="5">
                  <c:v>18</c:v>
                </c:pt>
                <c:pt idx="6">
                  <c:v>21</c:v>
                </c:pt>
                <c:pt idx="7">
                  <c:v>50</c:v>
                </c:pt>
                <c:pt idx="8">
                  <c:v>2</c:v>
                </c:pt>
                <c:pt idx="9">
                  <c:v>13</c:v>
                </c:pt>
                <c:pt idx="10">
                  <c:v>27</c:v>
                </c:pt>
                <c:pt idx="11">
                  <c:v>27</c:v>
                </c:pt>
                <c:pt idx="12">
                  <c:v>7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9738-42F0-8FF0-9FA7B0851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200" b="1">
                <a:solidFill>
                  <a:srgbClr val="BF570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BF57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1.1538461538461518E-3"/>
          <c:y val="0.12393849206349207"/>
          <c:w val="0.9"/>
          <c:h val="5.1665277777777775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txPr>
    <a:bodyPr/>
    <a:lstStyle/>
    <a:p>
      <a:pPr>
        <a:defRPr sz="11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/>
            </a:pPr>
            <a:r>
              <a:rPr lang="en-US" sz="1600">
                <a:solidFill>
                  <a:srgbClr val="0D7680"/>
                </a:solidFill>
              </a:rPr>
              <a:t>API ACCESS is barely used — half have never touched it</a:t>
            </a:r>
          </a:p>
          <a:p>
            <a:pPr algn="l">
              <a:defRPr/>
            </a:pPr>
            <a:r>
              <a:rPr lang="en-US" b="0">
                <a:solidFill>
                  <a:schemeClr val="tx1">
                    <a:lumMod val="50000"/>
                    <a:lumOff val="50000"/>
                  </a:schemeClr>
                </a:solidFill>
              </a:rPr>
              <a:t>Have not used the feature (%), by feature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'4 Not used'!$C$40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129FAE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D7680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F7-44E5-A00F-420826806A3F}"/>
              </c:ext>
            </c:extLst>
          </c:dPt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F7-44E5-A00F-420826806A3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F7-44E5-A00F-420826806A3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F7-44E5-A00F-420826806A3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F7-44E5-A00F-420826806A3F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 Not used'!$B$41:$B$55</c:f>
              <c:strCache>
                <c:ptCount val="15"/>
                <c:pt idx="0">
                  <c:v>API access</c:v>
                </c:pt>
                <c:pt idx="1">
                  <c:v>Report export</c:v>
                </c:pt>
                <c:pt idx="2">
                  <c:v>Custom fields</c:v>
                </c:pt>
                <c:pt idx="3">
                  <c:v>Automations</c:v>
                </c:pt>
                <c:pt idx="4">
                  <c:v>Guest access</c:v>
                </c:pt>
                <c:pt idx="5">
                  <c:v>Time tracking</c:v>
                </c:pt>
                <c:pt idx="6">
                  <c:v>Task comments</c:v>
                </c:pt>
                <c:pt idx="7">
                  <c:v>Dashboards</c:v>
                </c:pt>
                <c:pt idx="8">
                  <c:v>Templates</c:v>
                </c:pt>
                <c:pt idx="9">
                  <c:v>File sharing</c:v>
                </c:pt>
                <c:pt idx="10">
                  <c:v>Calendar sync</c:v>
                </c:pt>
                <c:pt idx="11">
                  <c:v>Notifications</c:v>
                </c:pt>
                <c:pt idx="12">
                  <c:v>Bulk edit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'4 Not used'!$C$41:$C$55</c:f>
              <c:numCache>
                <c:formatCode>0"%"</c:formatCode>
                <c:ptCount val="15"/>
                <c:pt idx="0">
                  <c:v>50</c:v>
                </c:pt>
                <c:pt idx="1">
                  <c:v>33</c:v>
                </c:pt>
                <c:pt idx="2">
                  <c:v>27</c:v>
                </c:pt>
                <c:pt idx="3">
                  <c:v>27</c:v>
                </c:pt>
                <c:pt idx="4">
                  <c:v>26</c:v>
                </c:pt>
                <c:pt idx="5">
                  <c:v>21</c:v>
                </c:pt>
                <c:pt idx="6">
                  <c:v>18</c:v>
                </c:pt>
                <c:pt idx="7">
                  <c:v>13</c:v>
                </c:pt>
                <c:pt idx="8">
                  <c:v>11</c:v>
                </c:pt>
                <c:pt idx="9">
                  <c:v>7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C3F7-44E5-A00F-420826806A3F}"/>
            </c:ext>
          </c:extLst>
        </c:ser>
        <c:ser>
          <c:idx val="1"/>
          <c:order val="1"/>
          <c:tx>
            <c:strRef>
              <c:f>'4 Not used'!$D$40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'4 Not used'!$B$41:$B$55</c:f>
              <c:strCache>
                <c:ptCount val="15"/>
                <c:pt idx="0">
                  <c:v>API access</c:v>
                </c:pt>
                <c:pt idx="1">
                  <c:v>Report export</c:v>
                </c:pt>
                <c:pt idx="2">
                  <c:v>Custom fields</c:v>
                </c:pt>
                <c:pt idx="3">
                  <c:v>Automations</c:v>
                </c:pt>
                <c:pt idx="4">
                  <c:v>Guest access</c:v>
                </c:pt>
                <c:pt idx="5">
                  <c:v>Time tracking</c:v>
                </c:pt>
                <c:pt idx="6">
                  <c:v>Task comments</c:v>
                </c:pt>
                <c:pt idx="7">
                  <c:v>Dashboards</c:v>
                </c:pt>
                <c:pt idx="8">
                  <c:v>Templates</c:v>
                </c:pt>
                <c:pt idx="9">
                  <c:v>File sharing</c:v>
                </c:pt>
                <c:pt idx="10">
                  <c:v>Calendar sync</c:v>
                </c:pt>
                <c:pt idx="11">
                  <c:v>Notifications</c:v>
                </c:pt>
                <c:pt idx="12">
                  <c:v>Bulk edit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'4 Not used'!$D$41:$D$55</c:f>
              <c:numCache>
                <c:formatCode>0"%"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8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C3F7-44E5-A00F-420826806A3F}"/>
            </c:ext>
          </c:extLst>
        </c:ser>
        <c:ser>
          <c:idx val="2"/>
          <c:order val="2"/>
          <c:tx>
            <c:strRef>
              <c:f>'4 Not used'!$E$40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'4 Not used'!$B$41:$B$55</c:f>
              <c:strCache>
                <c:ptCount val="15"/>
                <c:pt idx="0">
                  <c:v>API access</c:v>
                </c:pt>
                <c:pt idx="1">
                  <c:v>Report export</c:v>
                </c:pt>
                <c:pt idx="2">
                  <c:v>Custom fields</c:v>
                </c:pt>
                <c:pt idx="3">
                  <c:v>Automations</c:v>
                </c:pt>
                <c:pt idx="4">
                  <c:v>Guest access</c:v>
                </c:pt>
                <c:pt idx="5">
                  <c:v>Time tracking</c:v>
                </c:pt>
                <c:pt idx="6">
                  <c:v>Task comments</c:v>
                </c:pt>
                <c:pt idx="7">
                  <c:v>Dashboards</c:v>
                </c:pt>
                <c:pt idx="8">
                  <c:v>Templates</c:v>
                </c:pt>
                <c:pt idx="9">
                  <c:v>File sharing</c:v>
                </c:pt>
                <c:pt idx="10">
                  <c:v>Calendar sync</c:v>
                </c:pt>
                <c:pt idx="11">
                  <c:v>Notifications</c:v>
                </c:pt>
                <c:pt idx="12">
                  <c:v>Bulk edit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'4 Not used'!$E$41:$E$55</c:f>
              <c:numCache>
                <c:formatCode>0"%"</c:formatCode>
                <c:ptCount val="1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14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5</c:v>
                </c:pt>
                <c:pt idx="12">
                  <c:v>14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C3F7-44E5-A00F-420826806A3F}"/>
            </c:ext>
          </c:extLst>
        </c:ser>
        <c:ser>
          <c:idx val="3"/>
          <c:order val="3"/>
          <c:tx>
            <c:strRef>
              <c:f>'4 Not used'!$F$40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DBDBD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'4 Not used'!$B$41:$B$55</c:f>
              <c:strCache>
                <c:ptCount val="15"/>
                <c:pt idx="0">
                  <c:v>API access</c:v>
                </c:pt>
                <c:pt idx="1">
                  <c:v>Report export</c:v>
                </c:pt>
                <c:pt idx="2">
                  <c:v>Custom fields</c:v>
                </c:pt>
                <c:pt idx="3">
                  <c:v>Automations</c:v>
                </c:pt>
                <c:pt idx="4">
                  <c:v>Guest access</c:v>
                </c:pt>
                <c:pt idx="5">
                  <c:v>Time tracking</c:v>
                </c:pt>
                <c:pt idx="6">
                  <c:v>Task comments</c:v>
                </c:pt>
                <c:pt idx="7">
                  <c:v>Dashboards</c:v>
                </c:pt>
                <c:pt idx="8">
                  <c:v>Templates</c:v>
                </c:pt>
                <c:pt idx="9">
                  <c:v>File sharing</c:v>
                </c:pt>
                <c:pt idx="10">
                  <c:v>Calendar sync</c:v>
                </c:pt>
                <c:pt idx="11">
                  <c:v>Notifications</c:v>
                </c:pt>
                <c:pt idx="12">
                  <c:v>Bulk edit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'4 Not used'!$F$41:$F$55</c:f>
              <c:numCache>
                <c:formatCode>0"%"</c:formatCode>
                <c:ptCount val="15"/>
                <c:pt idx="0">
                  <c:v>15</c:v>
                </c:pt>
                <c:pt idx="1">
                  <c:v>25</c:v>
                </c:pt>
                <c:pt idx="2">
                  <c:v>17</c:v>
                </c:pt>
                <c:pt idx="3">
                  <c:v>23</c:v>
                </c:pt>
                <c:pt idx="4">
                  <c:v>24</c:v>
                </c:pt>
                <c:pt idx="5">
                  <c:v>17</c:v>
                </c:pt>
                <c:pt idx="6">
                  <c:v>15</c:v>
                </c:pt>
                <c:pt idx="7">
                  <c:v>20</c:v>
                </c:pt>
                <c:pt idx="8">
                  <c:v>23</c:v>
                </c:pt>
                <c:pt idx="9">
                  <c:v>21</c:v>
                </c:pt>
                <c:pt idx="10">
                  <c:v>23</c:v>
                </c:pt>
                <c:pt idx="11">
                  <c:v>24</c:v>
                </c:pt>
                <c:pt idx="12">
                  <c:v>24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C3F7-44E5-A00F-420826806A3F}"/>
            </c:ext>
          </c:extLst>
        </c:ser>
        <c:ser>
          <c:idx val="4"/>
          <c:order val="4"/>
          <c:tx>
            <c:strRef>
              <c:f>'4 Not used'!$G$40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D9D9D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'4 Not used'!$B$41:$B$55</c:f>
              <c:strCache>
                <c:ptCount val="15"/>
                <c:pt idx="0">
                  <c:v>API access</c:v>
                </c:pt>
                <c:pt idx="1">
                  <c:v>Report export</c:v>
                </c:pt>
                <c:pt idx="2">
                  <c:v>Custom fields</c:v>
                </c:pt>
                <c:pt idx="3">
                  <c:v>Automations</c:v>
                </c:pt>
                <c:pt idx="4">
                  <c:v>Guest access</c:v>
                </c:pt>
                <c:pt idx="5">
                  <c:v>Time tracking</c:v>
                </c:pt>
                <c:pt idx="6">
                  <c:v>Task comments</c:v>
                </c:pt>
                <c:pt idx="7">
                  <c:v>Dashboards</c:v>
                </c:pt>
                <c:pt idx="8">
                  <c:v>Templates</c:v>
                </c:pt>
                <c:pt idx="9">
                  <c:v>File sharing</c:v>
                </c:pt>
                <c:pt idx="10">
                  <c:v>Calendar sync</c:v>
                </c:pt>
                <c:pt idx="11">
                  <c:v>Notifications</c:v>
                </c:pt>
                <c:pt idx="12">
                  <c:v>Bulk edit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'4 Not used'!$G$41:$G$55</c:f>
              <c:numCache>
                <c:formatCode>0"%"</c:formatCode>
                <c:ptCount val="15"/>
                <c:pt idx="0">
                  <c:v>16</c:v>
                </c:pt>
                <c:pt idx="1">
                  <c:v>18</c:v>
                </c:pt>
                <c:pt idx="2">
                  <c:v>28</c:v>
                </c:pt>
                <c:pt idx="3">
                  <c:v>27</c:v>
                </c:pt>
                <c:pt idx="4">
                  <c:v>17</c:v>
                </c:pt>
                <c:pt idx="5">
                  <c:v>27</c:v>
                </c:pt>
                <c:pt idx="6">
                  <c:v>26</c:v>
                </c:pt>
                <c:pt idx="7">
                  <c:v>35</c:v>
                </c:pt>
                <c:pt idx="8">
                  <c:v>32</c:v>
                </c:pt>
                <c:pt idx="9">
                  <c:v>37</c:v>
                </c:pt>
                <c:pt idx="10">
                  <c:v>36</c:v>
                </c:pt>
                <c:pt idx="11">
                  <c:v>34</c:v>
                </c:pt>
                <c:pt idx="12">
                  <c:v>27</c:v>
                </c:pt>
                <c:pt idx="13">
                  <c:v>36</c:v>
                </c:pt>
                <c:pt idx="14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C3F7-44E5-A00F-420826806A3F}"/>
            </c:ext>
          </c:extLst>
        </c:ser>
        <c:ser>
          <c:idx val="5"/>
          <c:order val="5"/>
          <c:tx>
            <c:strRef>
              <c:f>'4 Not used'!$H$40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D9D9D9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'4 Not used'!$B$41:$B$55</c:f>
              <c:strCache>
                <c:ptCount val="15"/>
                <c:pt idx="0">
                  <c:v>API access</c:v>
                </c:pt>
                <c:pt idx="1">
                  <c:v>Report export</c:v>
                </c:pt>
                <c:pt idx="2">
                  <c:v>Custom fields</c:v>
                </c:pt>
                <c:pt idx="3">
                  <c:v>Automations</c:v>
                </c:pt>
                <c:pt idx="4">
                  <c:v>Guest access</c:v>
                </c:pt>
                <c:pt idx="5">
                  <c:v>Time tracking</c:v>
                </c:pt>
                <c:pt idx="6">
                  <c:v>Task comments</c:v>
                </c:pt>
                <c:pt idx="7">
                  <c:v>Dashboards</c:v>
                </c:pt>
                <c:pt idx="8">
                  <c:v>Templates</c:v>
                </c:pt>
                <c:pt idx="9">
                  <c:v>File sharing</c:v>
                </c:pt>
                <c:pt idx="10">
                  <c:v>Calendar sync</c:v>
                </c:pt>
                <c:pt idx="11">
                  <c:v>Notifications</c:v>
                </c:pt>
                <c:pt idx="12">
                  <c:v>Bulk edit</c:v>
                </c:pt>
                <c:pt idx="13">
                  <c:v>Mobile app</c:v>
                </c:pt>
                <c:pt idx="14">
                  <c:v>Search</c:v>
                </c:pt>
              </c:strCache>
            </c:strRef>
          </c:cat>
          <c:val>
            <c:numRef>
              <c:f>'4 Not used'!$H$41:$H$55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21</c:v>
                </c:pt>
                <c:pt idx="3">
                  <c:v>16</c:v>
                </c:pt>
                <c:pt idx="4">
                  <c:v>10</c:v>
                </c:pt>
                <c:pt idx="5">
                  <c:v>27</c:v>
                </c:pt>
                <c:pt idx="6">
                  <c:v>33</c:v>
                </c:pt>
                <c:pt idx="7">
                  <c:v>25</c:v>
                </c:pt>
                <c:pt idx="8">
                  <c:v>25</c:v>
                </c:pt>
                <c:pt idx="9">
                  <c:v>29</c:v>
                </c:pt>
                <c:pt idx="10">
                  <c:v>28</c:v>
                </c:pt>
                <c:pt idx="11">
                  <c:v>33</c:v>
                </c:pt>
                <c:pt idx="12">
                  <c:v>25</c:v>
                </c:pt>
                <c:pt idx="13">
                  <c:v>47</c:v>
                </c:pt>
                <c:pt idx="14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C3F7-44E5-A00F-420826806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rgbClr val="0D768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3130892857142856"/>
          <c:w val="0.9"/>
          <c:h val="5.1665277777777775E-2"/>
        </c:manualLayout>
      </c:layout>
      <c:overlay val="0"/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txPr>
    <a:bodyPr/>
    <a:lstStyle/>
    <a:p>
      <a:pPr>
        <a:defRPr sz="12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/>
            </a:pPr>
            <a:r>
              <a:rPr lang="en-US" sz="1800">
                <a:solidFill>
                  <a:srgbClr val="0F3762"/>
                </a:solidFill>
              </a:rPr>
              <a:t>User satisfaction varies greatly by feature</a:t>
            </a:r>
          </a:p>
          <a:p>
            <a:pPr algn="l">
              <a:defRPr/>
            </a:pPr>
            <a:r>
              <a:rPr lang="en-US" sz="1200">
                <a:solidFill>
                  <a:schemeClr val="tx1">
                    <a:lumMod val="50000"/>
                    <a:lumOff val="50000"/>
                  </a:schemeClr>
                </a:solidFill>
              </a:rPr>
              <a:t>Product X user satisfaction: features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Data!$C$8</c:f>
              <c:strCache>
                <c:ptCount val="1"/>
                <c:pt idx="0">
                  <c:v>Have not used</c:v>
                </c:pt>
              </c:strCache>
            </c:strRef>
          </c:tx>
          <c:spPr>
            <a:solidFill>
              <a:srgbClr val="A5D5DA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14"/>
            <c:invertIfNegative val="1"/>
            <c:bubble3D val="0"/>
            <c:spPr>
              <a:solidFill>
                <a:srgbClr val="0D7680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189-46BA-890B-2EC19B9F40A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89-46BA-890B-2EC19B9F40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89-46BA-890B-2EC19B9F40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89-46BA-890B-2EC19B9F40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89-46BA-890B-2EC19B9F40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89-46BA-890B-2EC19B9F4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89-46BA-890B-2EC19B9F4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89-46BA-890B-2EC19B9F4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89-46BA-890B-2EC19B9F40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89-46BA-890B-2EC19B9F40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189-46BA-890B-2EC19B9F40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189-46BA-890B-2EC19B9F40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189-46BA-890B-2EC19B9F4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189-46BA-890B-2EC19B9F40A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189-46BA-890B-2EC19B9F40A0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Data!$C$9:$C$23</c:f>
              <c:numCache>
                <c:formatCode>0"%"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13</c:v>
                </c:pt>
                <c:pt idx="6">
                  <c:v>18</c:v>
                </c:pt>
                <c:pt idx="7">
                  <c:v>11</c:v>
                </c:pt>
                <c:pt idx="8">
                  <c:v>21</c:v>
                </c:pt>
                <c:pt idx="9">
                  <c:v>2</c:v>
                </c:pt>
                <c:pt idx="10">
                  <c:v>27</c:v>
                </c:pt>
                <c:pt idx="11">
                  <c:v>27</c:v>
                </c:pt>
                <c:pt idx="12">
                  <c:v>33</c:v>
                </c:pt>
                <c:pt idx="13">
                  <c:v>26</c:v>
                </c:pt>
                <c:pt idx="14">
                  <c:v>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9189-46BA-890B-2EC19B9F40A0}"/>
            </c:ext>
          </c:extLst>
        </c:ser>
        <c:ser>
          <c:idx val="1"/>
          <c:order val="1"/>
          <c:tx>
            <c:strRef>
              <c:f>Data!$D$8</c:f>
              <c:strCache>
                <c:ptCount val="1"/>
                <c:pt idx="0">
                  <c:v>Not satisfied at all</c:v>
                </c:pt>
              </c:strCache>
            </c:strRef>
          </c:tx>
          <c:spPr>
            <a:solidFill>
              <a:srgbClr val="F4B183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9189-46BA-890B-2EC19B9F40A0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9189-46BA-890B-2EC19B9F40A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189-46BA-890B-2EC19B9F40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189-46BA-890B-2EC19B9F40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189-46BA-890B-2EC19B9F40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189-46BA-890B-2EC19B9F40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189-46BA-890B-2EC19B9F4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189-46BA-890B-2EC19B9F4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189-46BA-890B-2EC19B9F4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189-46BA-890B-2EC19B9F40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189-46BA-890B-2EC19B9F40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189-46BA-890B-2EC19B9F40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189-46BA-890B-2EC19B9F4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189-46BA-890B-2EC19B9F40A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189-46BA-890B-2EC19B9F40A0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Data!$D$9:$D$23</c:f>
              <c:numCache>
                <c:formatCode>0"%"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9</c:v>
                </c:pt>
                <c:pt idx="14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9189-46BA-890B-2EC19B9F40A0}"/>
            </c:ext>
          </c:extLst>
        </c:ser>
        <c:ser>
          <c:idx val="2"/>
          <c:order val="2"/>
          <c:tx>
            <c:strRef>
              <c:f>Data!$E$8</c:f>
              <c:strCache>
                <c:ptCount val="1"/>
                <c:pt idx="0">
                  <c:v>Not very satisfied</c:v>
                </c:pt>
              </c:strCache>
            </c:strRef>
          </c:tx>
          <c:spPr>
            <a:solidFill>
              <a:srgbClr val="F4B183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9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9189-46BA-890B-2EC19B9F40A0}"/>
              </c:ext>
            </c:extLst>
          </c:dPt>
          <c:dPt>
            <c:idx val="13"/>
            <c:invertIfNegative val="1"/>
            <c:bubble3D val="0"/>
            <c:spPr>
              <a:solidFill>
                <a:srgbClr val="ED7D31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9189-46BA-890B-2EC19B9F40A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189-46BA-890B-2EC19B9F40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189-46BA-890B-2EC19B9F40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189-46BA-890B-2EC19B9F40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189-46BA-890B-2EC19B9F40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189-46BA-890B-2EC19B9F4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189-46BA-890B-2EC19B9F4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189-46BA-890B-2EC19B9F4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189-46BA-890B-2EC19B9F40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9189-46BA-890B-2EC19B9F40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189-46BA-890B-2EC19B9F40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189-46BA-890B-2EC19B9F4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189-46BA-890B-2EC19B9F40A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9189-46BA-890B-2EC19B9F40A0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Data!$E$9:$E$23</c:f>
              <c:numCache>
                <c:formatCode>0"%"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14</c:v>
                </c:pt>
                <c:pt idx="10">
                  <c:v>4</c:v>
                </c:pt>
                <c:pt idx="11">
                  <c:v>4</c:v>
                </c:pt>
                <c:pt idx="12">
                  <c:v>8</c:v>
                </c:pt>
                <c:pt idx="13">
                  <c:v>14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4-9189-46BA-890B-2EC19B9F40A0}"/>
            </c:ext>
          </c:extLst>
        </c:ser>
        <c:ser>
          <c:idx val="3"/>
          <c:order val="3"/>
          <c:tx>
            <c:strRef>
              <c:f>Data!$F$8</c:f>
              <c:strCache>
                <c:ptCount val="1"/>
                <c:pt idx="0">
                  <c:v>Somewhat satisfied</c:v>
                </c:pt>
              </c:strCache>
            </c:strRef>
          </c:tx>
          <c:spPr>
            <a:solidFill>
              <a:srgbClr val="BFBFBF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Data!$F$9:$F$23</c:f>
              <c:numCache>
                <c:formatCode>0"%"</c:formatCode>
                <c:ptCount val="15"/>
                <c:pt idx="0">
                  <c:v>11</c:v>
                </c:pt>
                <c:pt idx="1">
                  <c:v>13</c:v>
                </c:pt>
                <c:pt idx="2">
                  <c:v>24</c:v>
                </c:pt>
                <c:pt idx="3">
                  <c:v>21</c:v>
                </c:pt>
                <c:pt idx="4">
                  <c:v>23</c:v>
                </c:pt>
                <c:pt idx="5">
                  <c:v>20</c:v>
                </c:pt>
                <c:pt idx="6">
                  <c:v>15</c:v>
                </c:pt>
                <c:pt idx="7">
                  <c:v>23</c:v>
                </c:pt>
                <c:pt idx="8">
                  <c:v>17</c:v>
                </c:pt>
                <c:pt idx="9">
                  <c:v>24</c:v>
                </c:pt>
                <c:pt idx="10">
                  <c:v>17</c:v>
                </c:pt>
                <c:pt idx="11">
                  <c:v>23</c:v>
                </c:pt>
                <c:pt idx="12">
                  <c:v>25</c:v>
                </c:pt>
                <c:pt idx="13">
                  <c:v>24</c:v>
                </c:pt>
                <c:pt idx="14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5-9189-46BA-890B-2EC19B9F40A0}"/>
            </c:ext>
          </c:extLst>
        </c:ser>
        <c:ser>
          <c:idx val="4"/>
          <c:order val="4"/>
          <c:tx>
            <c:strRef>
              <c:f>Data!$G$8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rgbClr val="ACCDF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9189-46BA-890B-2EC19B9F40A0}"/>
              </c:ext>
            </c:extLst>
          </c:dPt>
          <c:dPt>
            <c:idx val="1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9189-46BA-890B-2EC19B9F40A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189-46BA-890B-2EC19B9F40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189-46BA-890B-2EC19B9F40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189-46BA-890B-2EC19B9F4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189-46BA-890B-2EC19B9F4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189-46BA-890B-2EC19B9F4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9189-46BA-890B-2EC19B9F40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189-46BA-890B-2EC19B9F40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189-46BA-890B-2EC19B9F40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189-46BA-890B-2EC19B9F40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189-46BA-890B-2EC19B9F4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9189-46BA-890B-2EC19B9F40A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9189-46BA-890B-2EC19B9F40A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9189-46BA-890B-2EC19B9F40A0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Data!$G$9:$G$23</c:f>
              <c:numCache>
                <c:formatCode>0"%"</c:formatCode>
                <c:ptCount val="15"/>
                <c:pt idx="0">
                  <c:v>40</c:v>
                </c:pt>
                <c:pt idx="1">
                  <c:v>36</c:v>
                </c:pt>
                <c:pt idx="2">
                  <c:v>34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26</c:v>
                </c:pt>
                <c:pt idx="7">
                  <c:v>32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27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9189-46BA-890B-2EC19B9F40A0}"/>
            </c:ext>
          </c:extLst>
        </c:ser>
        <c:ser>
          <c:idx val="5"/>
          <c:order val="5"/>
          <c:tx>
            <c:strRef>
              <c:f>Data!$H$8</c:f>
              <c:strCache>
                <c:ptCount val="1"/>
                <c:pt idx="0">
                  <c:v>Completely satisfied</c:v>
                </c:pt>
              </c:strCache>
            </c:strRef>
          </c:tx>
          <c:spPr>
            <a:solidFill>
              <a:srgbClr val="ACCDF2"/>
            </a:solidFill>
            <a:ln w="9525">
              <a:solidFill>
                <a:srgbClr val="FFFFFF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9189-46BA-890B-2EC19B9F40A0}"/>
              </c:ext>
            </c:extLst>
          </c:dPt>
          <c:dPt>
            <c:idx val="1"/>
            <c:invertIfNegative val="1"/>
            <c:bubble3D val="0"/>
            <c:spPr>
              <a:solidFill>
                <a:srgbClr val="0F3762"/>
              </a:solidFill>
              <a:ln w="9525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9189-46BA-890B-2EC19B9F40A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9189-46BA-890B-2EC19B9F40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9189-46BA-890B-2EC19B9F40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9189-46BA-890B-2EC19B9F40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9189-46BA-890B-2EC19B9F40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9189-46BA-890B-2EC19B9F40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189-46BA-890B-2EC19B9F40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9189-46BA-890B-2EC19B9F40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9189-46BA-890B-2EC19B9F40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9189-46BA-890B-2EC19B9F40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9189-46BA-890B-2EC19B9F40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9189-46BA-890B-2EC19B9F40A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9189-46BA-890B-2EC19B9F40A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9189-46BA-890B-2EC19B9F40A0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Data!$B$9:$B$23</c:f>
              <c:strCache>
                <c:ptCount val="15"/>
                <c:pt idx="0">
                  <c:v>Search</c:v>
                </c:pt>
                <c:pt idx="1">
                  <c:v>Mobile app</c:v>
                </c:pt>
                <c:pt idx="2">
                  <c:v>Notifications</c:v>
                </c:pt>
                <c:pt idx="3">
                  <c:v>File sharing</c:v>
                </c:pt>
                <c:pt idx="4">
                  <c:v>Calendar sync</c:v>
                </c:pt>
                <c:pt idx="5">
                  <c:v>Dashboards</c:v>
                </c:pt>
                <c:pt idx="6">
                  <c:v>Task comments</c:v>
                </c:pt>
                <c:pt idx="7">
                  <c:v>Templates</c:v>
                </c:pt>
                <c:pt idx="8">
                  <c:v>Time tracking</c:v>
                </c:pt>
                <c:pt idx="9">
                  <c:v>Bulk edit</c:v>
                </c:pt>
                <c:pt idx="10">
                  <c:v>Custom fields</c:v>
                </c:pt>
                <c:pt idx="11">
                  <c:v>Automations</c:v>
                </c:pt>
                <c:pt idx="12">
                  <c:v>Report export</c:v>
                </c:pt>
                <c:pt idx="13">
                  <c:v>Guest access</c:v>
                </c:pt>
                <c:pt idx="14">
                  <c:v>API access</c:v>
                </c:pt>
              </c:strCache>
            </c:strRef>
          </c:cat>
          <c:val>
            <c:numRef>
              <c:f>Data!$H$9:$H$23</c:f>
              <c:numCache>
                <c:formatCode>0"%"</c:formatCode>
                <c:ptCount val="15"/>
                <c:pt idx="0">
                  <c:v>47</c:v>
                </c:pt>
                <c:pt idx="1">
                  <c:v>47</c:v>
                </c:pt>
                <c:pt idx="2">
                  <c:v>33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33</c:v>
                </c:pt>
                <c:pt idx="7">
                  <c:v>25</c:v>
                </c:pt>
                <c:pt idx="8">
                  <c:v>27</c:v>
                </c:pt>
                <c:pt idx="9">
                  <c:v>25</c:v>
                </c:pt>
                <c:pt idx="10">
                  <c:v>21</c:v>
                </c:pt>
                <c:pt idx="11">
                  <c:v>16</c:v>
                </c:pt>
                <c:pt idx="12">
                  <c:v>13</c:v>
                </c:pt>
                <c:pt idx="13">
                  <c:v>10</c:v>
                </c:pt>
                <c:pt idx="14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9-9189-46BA-890B-2EC19B9F4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20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0"/>
          <c:min val="0"/>
        </c:scaling>
        <c:delete val="1"/>
        <c:axPos val="t"/>
        <c:numFmt formatCode="0&quot;%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</c:spPr>
    </c:plotArea>
    <c:legend>
      <c:legendPos val="t"/>
      <c:legendEntry>
        <c:idx val="0"/>
        <c:txPr>
          <a:bodyPr/>
          <a:lstStyle/>
          <a:p>
            <a:pPr>
              <a:defRPr sz="1200" b="1">
                <a:solidFill>
                  <a:srgbClr val="0D768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200" b="1">
                <a:solidFill>
                  <a:srgbClr val="ED7D31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200" b="1">
                <a:solidFill>
                  <a:srgbClr val="ED7D31"/>
                </a:solidFill>
              </a:defRPr>
            </a:pPr>
            <a:endParaRPr lang="en-US"/>
          </a:p>
        </c:txPr>
      </c:legendEntry>
      <c:legendEntry>
        <c:idx val="4"/>
        <c:txPr>
          <a:bodyPr/>
          <a:lstStyle/>
          <a:p>
            <a:pPr>
              <a:defRPr sz="1200" b="1">
                <a:solidFill>
                  <a:srgbClr val="0F3762"/>
                </a:solidFill>
              </a:defRPr>
            </a:pPr>
            <a:endParaRPr lang="en-US"/>
          </a:p>
        </c:txPr>
      </c:legendEntry>
      <c:legendEntry>
        <c:idx val="5"/>
        <c:txPr>
          <a:bodyPr/>
          <a:lstStyle/>
          <a:p>
            <a:pPr>
              <a:defRPr sz="1200" b="1">
                <a:solidFill>
                  <a:srgbClr val="0F3762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7.3002754820936655E-3"/>
          <c:y val="0.13149801587301588"/>
          <c:w val="0.9"/>
          <c:h val="5.1665277777777775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>
          <a:latin typeface="Aptos" panose="020B0004020202020204" pitchFamily="34" charset="0"/>
          <a:cs typeface="Aparajita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1">
                <a:solidFill>
                  <a:srgbClr val="0F3762"/>
                </a:solidFill>
              </a:rPr>
              <a:t>BULK EDIT is the one to fix: heavily used and widely disliked</a:t>
            </a:r>
          </a:p>
          <a:p>
            <a:pPr algn="l">
              <a:defRPr sz="1600" b="1">
                <a:solidFill>
                  <a:srgbClr val="0F3762"/>
                </a:solidFill>
              </a:defRPr>
            </a:pPr>
            <a:r>
              <a:rPr lang="en-US" sz="1600" b="0">
                <a:solidFill>
                  <a:srgbClr val="404040"/>
                </a:solidFill>
              </a:rPr>
              <a:t>Dissatisfied share of users (%) against reach (% of respondents using it)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'6 Action map'!$C$43:$C$44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'6 Action map'!$D$43:$D$44</c:f>
              <c:numCache>
                <c:formatCode>General</c:formatCode>
                <c:ptCount val="2"/>
                <c:pt idx="0">
                  <c:v>0</c:v>
                </c:pt>
                <c:pt idx="1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9-40BE-94FA-7BDBAF532556}"/>
            </c:ext>
          </c:extLst>
        </c:ser>
        <c:ser>
          <c:idx val="1"/>
          <c:order val="1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'6 Action map'!$C$46:$C$47</c:f>
              <c:numCache>
                <c:formatCode>General</c:formatCode>
                <c:ptCount val="2"/>
                <c:pt idx="0">
                  <c:v>40</c:v>
                </c:pt>
                <c:pt idx="1">
                  <c:v>108</c:v>
                </c:pt>
              </c:numCache>
            </c:numRef>
          </c:xVal>
          <c:yVal>
            <c:numRef>
              <c:f>'6 Action map'!$D$46:$D$47</c:f>
              <c:numCache>
                <c:formatCode>General</c:formatCode>
                <c:ptCount val="2"/>
                <c:pt idx="0">
                  <c:v>0.1</c:v>
                </c:pt>
                <c:pt idx="1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79-40BE-94FA-7BDBAF532556}"/>
            </c:ext>
          </c:extLst>
        </c:ser>
        <c:ser>
          <c:idx val="2"/>
          <c:order val="2"/>
          <c:tx>
            <c:v>Search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Data!$J$9</c:f>
              <c:numCache>
                <c:formatCode>0"%"</c:formatCode>
                <c:ptCount val="1"/>
                <c:pt idx="0">
                  <c:v>100</c:v>
                </c:pt>
              </c:numCache>
            </c:numRef>
          </c:xVal>
          <c:yVal>
            <c:numRef>
              <c:f>Data!$L$9</c:f>
              <c:numCache>
                <c:formatCode>0%</c:formatCode>
                <c:ptCount val="1"/>
                <c:pt idx="0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79-40BE-94FA-7BDBAF532556}"/>
            </c:ext>
          </c:extLst>
        </c:ser>
        <c:ser>
          <c:idx val="3"/>
          <c:order val="3"/>
          <c:tx>
            <c:v>Mobile app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Data!$J$10</c:f>
              <c:numCache>
                <c:formatCode>0"%"</c:formatCode>
                <c:ptCount val="1"/>
                <c:pt idx="0">
                  <c:v>99</c:v>
                </c:pt>
              </c:numCache>
            </c:numRef>
          </c:xVal>
          <c:yVal>
            <c:numRef>
              <c:f>Data!$L$10</c:f>
              <c:numCache>
                <c:formatCode>0%</c:formatCode>
                <c:ptCount val="1"/>
                <c:pt idx="0">
                  <c:v>3.0303030303030304E-2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79-40BE-94FA-7BDBAF532556}"/>
            </c:ext>
          </c:extLst>
        </c:ser>
        <c:ser>
          <c:idx val="4"/>
          <c:order val="4"/>
          <c:tx>
            <c:v>Notifications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Data!$J$11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Data!$L$11</c:f>
              <c:numCache>
                <c:formatCode>0%</c:formatCode>
                <c:ptCount val="1"/>
                <c:pt idx="0">
                  <c:v>7.1428571428571425E-2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79-40BE-94FA-7BDBAF532556}"/>
            </c:ext>
          </c:extLst>
        </c:ser>
        <c:ser>
          <c:idx val="5"/>
          <c:order val="5"/>
          <c:tx>
            <c:v>File sharing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Data!$J$12</c:f>
              <c:numCache>
                <c:formatCode>0"%"</c:formatCode>
                <c:ptCount val="1"/>
                <c:pt idx="0">
                  <c:v>93</c:v>
                </c:pt>
              </c:numCache>
            </c:numRef>
          </c:xVal>
          <c:yVal>
            <c:numRef>
              <c:f>Data!$L$12</c:f>
              <c:numCache>
                <c:formatCode>0%</c:formatCode>
                <c:ptCount val="1"/>
                <c:pt idx="0">
                  <c:v>6.4516129032258063E-2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79-40BE-94FA-7BDBAF532556}"/>
            </c:ext>
          </c:extLst>
        </c:ser>
        <c:ser>
          <c:idx val="6"/>
          <c:order val="6"/>
          <c:tx>
            <c:v>Calendar sync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Data!$J$13</c:f>
              <c:numCache>
                <c:formatCode>0"%"</c:formatCode>
                <c:ptCount val="1"/>
                <c:pt idx="0">
                  <c:v>95</c:v>
                </c:pt>
              </c:numCache>
            </c:numRef>
          </c:xVal>
          <c:yVal>
            <c:numRef>
              <c:f>Data!$L$13</c:f>
              <c:numCache>
                <c:formatCode>0%</c:formatCode>
                <c:ptCount val="1"/>
                <c:pt idx="0">
                  <c:v>8.4210526315789472E-2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79-40BE-94FA-7BDBAF532556}"/>
            </c:ext>
          </c:extLst>
        </c:ser>
        <c:ser>
          <c:idx val="7"/>
          <c:order val="7"/>
          <c:tx>
            <c:v>Dashboards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Data!$J$14</c:f>
              <c:numCache>
                <c:formatCode>0"%"</c:formatCode>
                <c:ptCount val="1"/>
                <c:pt idx="0">
                  <c:v>87</c:v>
                </c:pt>
              </c:numCache>
            </c:numRef>
          </c:xVal>
          <c:yVal>
            <c:numRef>
              <c:f>Data!$L$14</c:f>
              <c:numCache>
                <c:formatCode>0%</c:formatCode>
                <c:ptCount val="1"/>
                <c:pt idx="0">
                  <c:v>8.0459770114942528E-2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79-40BE-94FA-7BDBAF532556}"/>
            </c:ext>
          </c:extLst>
        </c:ser>
        <c:ser>
          <c:idx val="8"/>
          <c:order val="8"/>
          <c:tx>
            <c:v>Task comments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0559999999999998E-2"/>
                  <c:y val="2.821999999999999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79-40BE-94FA-7BDBAF532556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Data!$J$15</c:f>
              <c:numCache>
                <c:formatCode>0"%"</c:formatCode>
                <c:ptCount val="1"/>
                <c:pt idx="0">
                  <c:v>82</c:v>
                </c:pt>
              </c:numCache>
            </c:numRef>
          </c:xVal>
          <c:yVal>
            <c:numRef>
              <c:f>Data!$L$15</c:f>
              <c:numCache>
                <c:formatCode>0%</c:formatCode>
                <c:ptCount val="1"/>
                <c:pt idx="0">
                  <c:v>9.7560975609756101E-2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79-40BE-94FA-7BDBAF532556}"/>
            </c:ext>
          </c:extLst>
        </c:ser>
        <c:ser>
          <c:idx val="9"/>
          <c:order val="9"/>
          <c:tx>
            <c:v>Templates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Data!$J$16</c:f>
              <c:numCache>
                <c:formatCode>0"%"</c:formatCode>
                <c:ptCount val="1"/>
                <c:pt idx="0">
                  <c:v>89</c:v>
                </c:pt>
              </c:numCache>
            </c:numRef>
          </c:xVal>
          <c:yVal>
            <c:numRef>
              <c:f>Data!$L$16</c:f>
              <c:numCache>
                <c:formatCode>0%</c:formatCode>
                <c:ptCount val="1"/>
                <c:pt idx="0">
                  <c:v>0.10112359550561797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79-40BE-94FA-7BDBAF532556}"/>
            </c:ext>
          </c:extLst>
        </c:ser>
        <c:ser>
          <c:idx val="10"/>
          <c:order val="10"/>
          <c:tx>
            <c:v>Time tracking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Data!$J$17</c:f>
              <c:numCache>
                <c:formatCode>0"%"</c:formatCode>
                <c:ptCount val="1"/>
                <c:pt idx="0">
                  <c:v>79</c:v>
                </c:pt>
              </c:numCache>
            </c:numRef>
          </c:xVal>
          <c:yVal>
            <c:numRef>
              <c:f>Data!$L$17</c:f>
              <c:numCache>
                <c:formatCode>0%</c:formatCode>
                <c:ptCount val="1"/>
                <c:pt idx="0">
                  <c:v>0.10126582278481013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D79-40BE-94FA-7BDBAF532556}"/>
            </c:ext>
          </c:extLst>
        </c:ser>
        <c:ser>
          <c:idx val="11"/>
          <c:order val="11"/>
          <c:tx>
            <c:v>Bulk edit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Data!$J$18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Data!$L$18</c:f>
              <c:numCache>
                <c:formatCode>0%</c:formatCode>
                <c:ptCount val="1"/>
                <c:pt idx="0">
                  <c:v>0.22448979591836735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D79-40BE-94FA-7BDBAF532556}"/>
            </c:ext>
          </c:extLst>
        </c:ser>
        <c:ser>
          <c:idx val="12"/>
          <c:order val="12"/>
          <c:tx>
            <c:v>Custom fields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Data!$J$19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Data!$L$19</c:f>
              <c:numCache>
                <c:formatCode>0%</c:formatCode>
                <c:ptCount val="1"/>
                <c:pt idx="0">
                  <c:v>9.5890410958904104E-2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D79-40BE-94FA-7BDBAF532556}"/>
            </c:ext>
          </c:extLst>
        </c:ser>
        <c:ser>
          <c:idx val="13"/>
          <c:order val="13"/>
          <c:tx>
            <c:v>Automations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Data!$J$20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Data!$L$20</c:f>
              <c:numCache>
                <c:formatCode>0%</c:formatCode>
                <c:ptCount val="1"/>
                <c:pt idx="0">
                  <c:v>9.5890410958904104E-2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D79-40BE-94FA-7BDBAF532556}"/>
            </c:ext>
          </c:extLst>
        </c:ser>
        <c:ser>
          <c:idx val="14"/>
          <c:order val="14"/>
          <c:tx>
            <c:v>Report export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Data!$J$21</c:f>
              <c:numCache>
                <c:formatCode>0"%"</c:formatCode>
                <c:ptCount val="1"/>
                <c:pt idx="0">
                  <c:v>67</c:v>
                </c:pt>
              </c:numCache>
            </c:numRef>
          </c:xVal>
          <c:yVal>
            <c:numRef>
              <c:f>Data!$L$21</c:f>
              <c:numCache>
                <c:formatCode>0%</c:formatCode>
                <c:ptCount val="1"/>
                <c:pt idx="0">
                  <c:v>0.16417910447761194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D79-40BE-94FA-7BDBAF532556}"/>
            </c:ext>
          </c:extLst>
        </c:ser>
        <c:ser>
          <c:idx val="15"/>
          <c:order val="15"/>
          <c:tx>
            <c:v>Guest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Data!$J$22</c:f>
              <c:numCache>
                <c:formatCode>0"%"</c:formatCode>
                <c:ptCount val="1"/>
                <c:pt idx="0">
                  <c:v>74</c:v>
                </c:pt>
              </c:numCache>
            </c:numRef>
          </c:xVal>
          <c:yVal>
            <c:numRef>
              <c:f>Data!$L$22</c:f>
              <c:numCache>
                <c:formatCode>0%</c:formatCode>
                <c:ptCount val="1"/>
                <c:pt idx="0">
                  <c:v>0.3108108108108108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D79-40BE-94FA-7BDBAF532556}"/>
            </c:ext>
          </c:extLst>
        </c:ser>
        <c:ser>
          <c:idx val="16"/>
          <c:order val="16"/>
          <c:tx>
            <c:v>API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00" b="0">
                    <a:solidFill>
                      <a:srgbClr val="262A33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Data!$J$23</c:f>
              <c:numCache>
                <c:formatCode>0"%"</c:formatCode>
                <c:ptCount val="1"/>
                <c:pt idx="0">
                  <c:v>50</c:v>
                </c:pt>
              </c:numCache>
            </c:numRef>
          </c:xVal>
          <c:yVal>
            <c:numRef>
              <c:f>Data!$L$23</c:f>
              <c:numCache>
                <c:formatCode>0%</c:formatCode>
                <c:ptCount val="1"/>
                <c:pt idx="0">
                  <c:v>0.16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D79-40BE-94FA-7BDBAF532556}"/>
            </c:ext>
          </c:extLst>
        </c:ser>
        <c:ser>
          <c:idx val="17"/>
          <c:order val="17"/>
          <c:tx>
            <c:v>FIX FIRST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990F3D"/>
                    </a:solidFill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map'!$C$51</c:f>
              <c:numCache>
                <c:formatCode>General</c:formatCode>
                <c:ptCount val="1"/>
                <c:pt idx="0">
                  <c:v>106</c:v>
                </c:pt>
              </c:numCache>
            </c:numRef>
          </c:xVal>
          <c:yVal>
            <c:numRef>
              <c:f>'6 Action map'!$D$51</c:f>
              <c:numCache>
                <c:formatCode>General</c:formatCode>
                <c:ptCount val="1"/>
                <c:pt idx="0">
                  <c:v>0.33500000000000002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D79-40BE-94FA-7BDBAF532556}"/>
            </c:ext>
          </c:extLst>
        </c:ser>
        <c:ser>
          <c:idx val="18"/>
          <c:order val="18"/>
          <c:tx>
            <c:v>INVESTIGATE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BF570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map'!$C$52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'6 Action map'!$D$52</c:f>
              <c:numCache>
                <c:formatCode>General</c:formatCode>
                <c:ptCount val="1"/>
                <c:pt idx="0">
                  <c:v>0.33500000000000002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D79-40BE-94FA-7BDBAF532556}"/>
            </c:ext>
          </c:extLst>
        </c:ser>
        <c:ser>
          <c:idx val="19"/>
          <c:order val="19"/>
          <c:tx>
            <c:v>PROTECT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0F3762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map'!$C$53</c:f>
              <c:numCache>
                <c:formatCode>General</c:formatCode>
                <c:ptCount val="1"/>
                <c:pt idx="0">
                  <c:v>86.5</c:v>
                </c:pt>
              </c:numCache>
            </c:numRef>
          </c:xVal>
          <c:yVal>
            <c:numRef>
              <c:f>'6 Action map'!$D$53</c:f>
              <c:numCache>
                <c:formatCode>General</c:formatCode>
                <c:ptCount val="1"/>
                <c:pt idx="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D79-40BE-94FA-7BDBAF532556}"/>
            </c:ext>
          </c:extLst>
        </c:ser>
        <c:ser>
          <c:idx val="20"/>
          <c:order val="20"/>
          <c:tx>
            <c:v>PROMOTE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600" b="1">
                    <a:solidFill>
                      <a:srgbClr val="0D768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'6 Action map'!$C$54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'6 Action map'!$D$54</c:f>
              <c:numCache>
                <c:formatCode>General</c:formatCode>
                <c:ptCount val="1"/>
                <c:pt idx="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D79-40BE-94FA-7BDBAF532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8"/>
          <c:min val="40"/>
        </c:scaling>
        <c:delete val="0"/>
        <c:axPos val="b"/>
        <c:title>
          <c:tx>
            <c:rich>
              <a:bodyPr rot="0" vert="horz"/>
              <a:lstStyle/>
              <a:p>
                <a:pPr algn="l">
                  <a:defRPr sz="1000" b="0">
                    <a:solidFill>
                      <a:srgbClr val="595959"/>
                    </a:solidFill>
                    <a:latin typeface="Aptos"/>
                  </a:defRPr>
                </a:pPr>
                <a:r>
                  <a:rPr lang="en-US" sz="1000" b="0">
                    <a:solidFill>
                      <a:srgbClr val="595959"/>
                    </a:solidFill>
                    <a:latin typeface="Aptos"/>
                  </a:rPr>
                  <a:t>Reach — % of respondents who use the feature</a:t>
                </a:r>
              </a:p>
            </c:rich>
          </c:tx>
          <c:overlay val="0"/>
        </c:title>
        <c:numFmt formatCode="0&quot;%&quot;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0.35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</a:defRPr>
            </a:pPr>
            <a:endParaRPr lang="en-US"/>
          </a:p>
        </c:txPr>
        <c:crossAx val="10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6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r>
              <a:rPr lang="en-US" sz="1600" b="1">
                <a:solidFill>
                  <a:srgbClr val="BF5700"/>
                </a:solidFill>
                <a:latin typeface="Aptos" panose="020B0004020202020204" pitchFamily="34" charset="0"/>
              </a:rPr>
              <a:t>TASK COMMENTS and TIME TRACKING are liked but under-adopted</a:t>
            </a:r>
          </a:p>
          <a:p>
            <a:pPr algn="l">
              <a:defRPr sz="1600" b="1">
                <a:solidFill>
                  <a:srgbClr val="0F3762"/>
                </a:solidFill>
                <a:latin typeface="Aptos" panose="020B0004020202020204" pitchFamily="34" charset="0"/>
              </a:defRPr>
            </a:pPr>
            <a:r>
              <a:rPr lang="en-US" sz="1400" b="0">
                <a:solidFill>
                  <a:srgbClr val="404040"/>
                </a:solidFill>
                <a:latin typeface="Aptos" panose="020B0004020202020204" pitchFamily="34" charset="0"/>
              </a:rPr>
              <a:t>Satisfied share of users (%) against reach (% of respondents using it)</a:t>
            </a:r>
          </a:p>
        </c:rich>
      </c:tx>
      <c:layout>
        <c:manualLayout>
          <c:xMode val="edge"/>
          <c:yMode val="edge"/>
          <c:x val="9.2599999999999991E-3"/>
          <c:y val="1.512E-2"/>
        </c:manualLayout>
      </c:layout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'7 Satisfaction map'!$C$43:$C$44</c:f>
              <c:numCache>
                <c:formatCode>General</c:formatCode>
                <c:ptCount val="2"/>
                <c:pt idx="0">
                  <c:v>85</c:v>
                </c:pt>
                <c:pt idx="1">
                  <c:v>85</c:v>
                </c:pt>
              </c:numCache>
            </c:numRef>
          </c:xVal>
          <c:yVal>
            <c:numRef>
              <c:f>'7 Satisfaction map'!$D$43:$D$44</c:f>
              <c:numCache>
                <c:formatCode>General</c:formatCode>
                <c:ptCount val="2"/>
                <c:pt idx="0">
                  <c:v>0.3</c:v>
                </c:pt>
                <c:pt idx="1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2-474E-983D-8AEC7FE17202}"/>
            </c:ext>
          </c:extLst>
        </c:ser>
        <c:ser>
          <c:idx val="1"/>
          <c:order val="1"/>
          <c:spPr>
            <a:ln w="15875">
              <a:solidFill>
                <a:srgbClr val="E8E8E8"/>
              </a:solidFill>
              <a:prstDash val="solid"/>
            </a:ln>
          </c:spPr>
          <c:marker>
            <c:symbol val="none"/>
          </c:marker>
          <c:xVal>
            <c:numRef>
              <c:f>'7 Satisfaction map'!$C$46:$C$47</c:f>
              <c:numCache>
                <c:formatCode>General</c:formatCode>
                <c:ptCount val="2"/>
                <c:pt idx="0">
                  <c:v>40</c:v>
                </c:pt>
                <c:pt idx="1">
                  <c:v>108</c:v>
                </c:pt>
              </c:numCache>
            </c:numRef>
          </c:xVal>
          <c:yVal>
            <c:numRef>
              <c:f>'7 Satisfaction map'!$D$46:$D$47</c:f>
              <c:numCache>
                <c:formatCode>General</c:formatCode>
                <c:ptCount val="2"/>
                <c:pt idx="0">
                  <c:v>0.65</c:v>
                </c:pt>
                <c:pt idx="1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42-474E-983D-8AEC7FE17202}"/>
            </c:ext>
          </c:extLst>
        </c:ser>
        <c:ser>
          <c:idx val="2"/>
          <c:order val="2"/>
          <c:tx>
            <c:v>Search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Data!$J$9</c:f>
              <c:numCache>
                <c:formatCode>0"%"</c:formatCode>
                <c:ptCount val="1"/>
                <c:pt idx="0">
                  <c:v>100</c:v>
                </c:pt>
              </c:numCache>
            </c:numRef>
          </c:xVal>
          <c:yVal>
            <c:numRef>
              <c:f>Data!$K$9</c:f>
              <c:numCache>
                <c:formatCode>0%</c:formatCode>
                <c:ptCount val="1"/>
                <c:pt idx="0">
                  <c:v>0.87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42-474E-983D-8AEC7FE17202}"/>
            </c:ext>
          </c:extLst>
        </c:ser>
        <c:ser>
          <c:idx val="3"/>
          <c:order val="3"/>
          <c:tx>
            <c:v>Mobile app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Data!$J$10</c:f>
              <c:numCache>
                <c:formatCode>0"%"</c:formatCode>
                <c:ptCount val="1"/>
                <c:pt idx="0">
                  <c:v>99</c:v>
                </c:pt>
              </c:numCache>
            </c:numRef>
          </c:xVal>
          <c:yVal>
            <c:numRef>
              <c:f>Data!$K$10</c:f>
              <c:numCache>
                <c:formatCode>0%</c:formatCode>
                <c:ptCount val="1"/>
                <c:pt idx="0">
                  <c:v>0.83838383838383834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42-474E-983D-8AEC7FE17202}"/>
            </c:ext>
          </c:extLst>
        </c:ser>
        <c:ser>
          <c:idx val="4"/>
          <c:order val="4"/>
          <c:tx>
            <c:v>Notifications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221E-2"/>
                  <c:y val="1.410999999999999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42-474E-983D-8AEC7FE17202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Data!$J$11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Data!$K$11</c:f>
              <c:numCache>
                <c:formatCode>0%</c:formatCode>
                <c:ptCount val="1"/>
                <c:pt idx="0">
                  <c:v>0.68367346938775508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42-474E-983D-8AEC7FE17202}"/>
            </c:ext>
          </c:extLst>
        </c:ser>
        <c:ser>
          <c:idx val="5"/>
          <c:order val="5"/>
          <c:tx>
            <c:v>File sharing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Data!$J$12</c:f>
              <c:numCache>
                <c:formatCode>0"%"</c:formatCode>
                <c:ptCount val="1"/>
                <c:pt idx="0">
                  <c:v>93</c:v>
                </c:pt>
              </c:numCache>
            </c:numRef>
          </c:xVal>
          <c:yVal>
            <c:numRef>
              <c:f>Data!$K$12</c:f>
              <c:numCache>
                <c:formatCode>0%</c:formatCode>
                <c:ptCount val="1"/>
                <c:pt idx="0">
                  <c:v>0.70967741935483875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42-474E-983D-8AEC7FE17202}"/>
            </c:ext>
          </c:extLst>
        </c:ser>
        <c:ser>
          <c:idx val="6"/>
          <c:order val="6"/>
          <c:tx>
            <c:v>Calendar sync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5340000000000001E-2"/>
                  <c:y val="-4.209000000000000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42-474E-983D-8AEC7FE17202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Data!$J$13</c:f>
              <c:numCache>
                <c:formatCode>0"%"</c:formatCode>
                <c:ptCount val="1"/>
                <c:pt idx="0">
                  <c:v>95</c:v>
                </c:pt>
              </c:numCache>
            </c:numRef>
          </c:xVal>
          <c:yVal>
            <c:numRef>
              <c:f>Data!$K$13</c:f>
              <c:numCache>
                <c:formatCode>0%</c:formatCode>
                <c:ptCount val="1"/>
                <c:pt idx="0">
                  <c:v>0.67368421052631577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42-474E-983D-8AEC7FE17202}"/>
            </c:ext>
          </c:extLst>
        </c:ser>
        <c:ser>
          <c:idx val="7"/>
          <c:order val="7"/>
          <c:tx>
            <c:v>Dashboards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F3762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Data!$J$14</c:f>
              <c:numCache>
                <c:formatCode>0"%"</c:formatCode>
                <c:ptCount val="1"/>
                <c:pt idx="0">
                  <c:v>87</c:v>
                </c:pt>
              </c:numCache>
            </c:numRef>
          </c:xVal>
          <c:yVal>
            <c:numRef>
              <c:f>Data!$K$14</c:f>
              <c:numCache>
                <c:formatCode>0%</c:formatCode>
                <c:ptCount val="1"/>
                <c:pt idx="0">
                  <c:v>0.68965517241379315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42-474E-983D-8AEC7FE17202}"/>
            </c:ext>
          </c:extLst>
        </c:ser>
        <c:ser>
          <c:idx val="8"/>
          <c:order val="8"/>
          <c:tx>
            <c:v>Task comments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397"/>
                  <c:y val="-1.645999999999999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A42-474E-983D-8AEC7FE17202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Data!$J$15</c:f>
              <c:numCache>
                <c:formatCode>0"%"</c:formatCode>
                <c:ptCount val="1"/>
                <c:pt idx="0">
                  <c:v>82</c:v>
                </c:pt>
              </c:numCache>
            </c:numRef>
          </c:xVal>
          <c:yVal>
            <c:numRef>
              <c:f>Data!$K$15</c:f>
              <c:numCache>
                <c:formatCode>0%</c:formatCode>
                <c:ptCount val="1"/>
                <c:pt idx="0">
                  <c:v>0.71951219512195119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A42-474E-983D-8AEC7FE17202}"/>
            </c:ext>
          </c:extLst>
        </c:ser>
        <c:ser>
          <c:idx val="9"/>
          <c:order val="9"/>
          <c:tx>
            <c:v>Templates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Data!$J$16</c:f>
              <c:numCache>
                <c:formatCode>0"%"</c:formatCode>
                <c:ptCount val="1"/>
                <c:pt idx="0">
                  <c:v>89</c:v>
                </c:pt>
              </c:numCache>
            </c:numRef>
          </c:xVal>
          <c:yVal>
            <c:numRef>
              <c:f>Data!$K$16</c:f>
              <c:numCache>
                <c:formatCode>0%</c:formatCode>
                <c:ptCount val="1"/>
                <c:pt idx="0">
                  <c:v>0.6404494382022472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A42-474E-983D-8AEC7FE17202}"/>
            </c:ext>
          </c:extLst>
        </c:ser>
        <c:ser>
          <c:idx val="10"/>
          <c:order val="10"/>
          <c:tx>
            <c:v>Time tracking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489999999999997E-2"/>
                  <c:y val="2.11700000000000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A42-474E-983D-8AEC7FE17202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Data!$J$17</c:f>
              <c:numCache>
                <c:formatCode>0"%"</c:formatCode>
                <c:ptCount val="1"/>
                <c:pt idx="0">
                  <c:v>79</c:v>
                </c:pt>
              </c:numCache>
            </c:numRef>
          </c:xVal>
          <c:yVal>
            <c:numRef>
              <c:f>Data!$K$17</c:f>
              <c:numCache>
                <c:formatCode>0%</c:formatCode>
                <c:ptCount val="1"/>
                <c:pt idx="0">
                  <c:v>0.68354430379746833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A42-474E-983D-8AEC7FE17202}"/>
            </c:ext>
          </c:extLst>
        </c:ser>
        <c:ser>
          <c:idx val="11"/>
          <c:order val="11"/>
          <c:tx>
            <c:v>Bulk edit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BF570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Data!$J$18</c:f>
              <c:numCache>
                <c:formatCode>0"%"</c:formatCode>
                <c:ptCount val="1"/>
                <c:pt idx="0">
                  <c:v>98</c:v>
                </c:pt>
              </c:numCache>
            </c:numRef>
          </c:xVal>
          <c:yVal>
            <c:numRef>
              <c:f>Data!$K$18</c:f>
              <c:numCache>
                <c:formatCode>0%</c:formatCode>
                <c:ptCount val="1"/>
                <c:pt idx="0">
                  <c:v>0.53061224489795922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A42-474E-983D-8AEC7FE17202}"/>
            </c:ext>
          </c:extLst>
        </c:ser>
        <c:ser>
          <c:idx val="12"/>
          <c:order val="12"/>
          <c:tx>
            <c:v>Custom fields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0D7680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58000000000001"/>
                  <c:y val="-4.9399999999999999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A42-474E-983D-8AEC7FE17202}"/>
                </c:ext>
              </c:extLst>
            </c:dLbl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Data!$J$19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Data!$K$19</c:f>
              <c:numCache>
                <c:formatCode>0%</c:formatCode>
                <c:ptCount val="1"/>
                <c:pt idx="0">
                  <c:v>0.67123287671232879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A42-474E-983D-8AEC7FE17202}"/>
            </c:ext>
          </c:extLst>
        </c:ser>
        <c:ser>
          <c:idx val="13"/>
          <c:order val="13"/>
          <c:tx>
            <c:v>Automations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Data!$J$20</c:f>
              <c:numCache>
                <c:formatCode>0"%"</c:formatCode>
                <c:ptCount val="1"/>
                <c:pt idx="0">
                  <c:v>73</c:v>
                </c:pt>
              </c:numCache>
            </c:numRef>
          </c:xVal>
          <c:yVal>
            <c:numRef>
              <c:f>Data!$K$20</c:f>
              <c:numCache>
                <c:formatCode>0%</c:formatCode>
                <c:ptCount val="1"/>
                <c:pt idx="0">
                  <c:v>0.58904109589041098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A42-474E-983D-8AEC7FE17202}"/>
            </c:ext>
          </c:extLst>
        </c:ser>
        <c:ser>
          <c:idx val="14"/>
          <c:order val="14"/>
          <c:tx>
            <c:v>Report export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Data!$J$21</c:f>
              <c:numCache>
                <c:formatCode>0"%"</c:formatCode>
                <c:ptCount val="1"/>
                <c:pt idx="0">
                  <c:v>67</c:v>
                </c:pt>
              </c:numCache>
            </c:numRef>
          </c:xVal>
          <c:yVal>
            <c:numRef>
              <c:f>Data!$K$21</c:f>
              <c:numCache>
                <c:formatCode>0%</c:formatCode>
                <c:ptCount val="1"/>
                <c:pt idx="0">
                  <c:v>0.46268656716417911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A42-474E-983D-8AEC7FE17202}"/>
            </c:ext>
          </c:extLst>
        </c:ser>
        <c:ser>
          <c:idx val="15"/>
          <c:order val="15"/>
          <c:tx>
            <c:v>Guest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10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Data!$J$22</c:f>
              <c:numCache>
                <c:formatCode>0"%"</c:formatCode>
                <c:ptCount val="1"/>
                <c:pt idx="0">
                  <c:v>74</c:v>
                </c:pt>
              </c:numCache>
            </c:numRef>
          </c:xVal>
          <c:yVal>
            <c:numRef>
              <c:f>Data!$K$22</c:f>
              <c:numCache>
                <c:formatCode>0%</c:formatCode>
                <c:ptCount val="1"/>
                <c:pt idx="0">
                  <c:v>0.36486486486486486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A42-474E-983D-8AEC7FE17202}"/>
            </c:ext>
          </c:extLst>
        </c:ser>
        <c:ser>
          <c:idx val="16"/>
          <c:order val="16"/>
          <c:tx>
            <c:v>API access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990F3D"/>
              </a:solidFill>
              <a:ln w="12700">
                <a:solidFill>
                  <a:srgbClr val="FFFFFF"/>
                </a:solidFill>
                <a:prstDash val="solid"/>
              </a:ln>
            </c:spPr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050" b="0">
                    <a:solidFill>
                      <a:srgbClr val="262A33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Data!$J$23</c:f>
              <c:numCache>
                <c:formatCode>0"%"</c:formatCode>
                <c:ptCount val="1"/>
                <c:pt idx="0">
                  <c:v>50</c:v>
                </c:pt>
              </c:numCache>
            </c:numRef>
          </c:xVal>
          <c:yVal>
            <c:numRef>
              <c:f>Data!$K$23</c:f>
              <c:numCache>
                <c:formatCode>0%</c:formatCode>
                <c:ptCount val="1"/>
                <c:pt idx="0">
                  <c:v>0.54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FA42-474E-983D-8AEC7FE17202}"/>
            </c:ext>
          </c:extLst>
        </c:ser>
        <c:ser>
          <c:idx val="17"/>
          <c:order val="17"/>
          <c:tx>
            <c:v>PROTECT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0F3762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map'!$C$51</c:f>
              <c:numCache>
                <c:formatCode>General</c:formatCode>
                <c:ptCount val="1"/>
                <c:pt idx="0">
                  <c:v>106</c:v>
                </c:pt>
              </c:numCache>
            </c:numRef>
          </c:xVal>
          <c:yVal>
            <c:numRef>
              <c:f>'7 Satisfaction map'!$D$51</c:f>
              <c:numCache>
                <c:formatCode>General</c:formatCode>
                <c:ptCount val="1"/>
                <c:pt idx="0">
                  <c:v>0.92500000000000004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FA42-474E-983D-8AEC7FE17202}"/>
            </c:ext>
          </c:extLst>
        </c:ser>
        <c:ser>
          <c:idx val="18"/>
          <c:order val="18"/>
          <c:tx>
            <c:v>PROMOTE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0D7680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map'!$C$52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'7 Satisfaction map'!$D$52</c:f>
              <c:numCache>
                <c:formatCode>General</c:formatCode>
                <c:ptCount val="1"/>
                <c:pt idx="0">
                  <c:v>0.92500000000000004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FA42-474E-983D-8AEC7FE17202}"/>
            </c:ext>
          </c:extLst>
        </c:ser>
        <c:ser>
          <c:idx val="19"/>
          <c:order val="19"/>
          <c:tx>
            <c:v>FIX FIRST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BF5700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map'!$C$53</c:f>
              <c:numCache>
                <c:formatCode>General</c:formatCode>
                <c:ptCount val="1"/>
                <c:pt idx="0">
                  <c:v>106</c:v>
                </c:pt>
              </c:numCache>
            </c:numRef>
          </c:xVal>
          <c:yVal>
            <c:numRef>
              <c:f>'7 Satisfaction map'!$D$53</c:f>
              <c:numCache>
                <c:formatCode>General</c:formatCode>
                <c:ptCount val="1"/>
                <c:pt idx="0">
                  <c:v>0.315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FA42-474E-983D-8AEC7FE17202}"/>
            </c:ext>
          </c:extLst>
        </c:ser>
        <c:ser>
          <c:idx val="20"/>
          <c:order val="20"/>
          <c:tx>
            <c:v>RECONSIDER</c:v>
          </c:tx>
          <c:spPr>
            <a:ln>
              <a:noFill/>
              <a:prstDash val="solid"/>
            </a:ln>
          </c:spPr>
          <c:marker>
            <c:symbol val="none"/>
          </c:marker>
          <c:dLbls>
            <c:spPr>
              <a:noFill/>
              <a:ln>
                <a:prstDash val="solid"/>
              </a:ln>
            </c:spPr>
            <c:txPr>
              <a:bodyPr/>
              <a:lstStyle/>
              <a:p>
                <a:pPr>
                  <a:defRPr sz="1400" b="1">
                    <a:solidFill>
                      <a:srgbClr val="990F3D"/>
                    </a:solidFill>
                    <a:latin typeface="Aptos" panose="020B000402020202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'7 Satisfaction map'!$C$54</c:f>
              <c:numCache>
                <c:formatCode>General</c:formatCode>
                <c:ptCount val="1"/>
                <c:pt idx="0">
                  <c:v>42</c:v>
                </c:pt>
              </c:numCache>
            </c:numRef>
          </c:xVal>
          <c:yVal>
            <c:numRef>
              <c:f>'7 Satisfaction map'!$D$54</c:f>
              <c:numCache>
                <c:formatCode>General</c:formatCode>
                <c:ptCount val="1"/>
                <c:pt idx="0">
                  <c:v>0.315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FA42-474E-983D-8AEC7FE17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8"/>
          <c:min val="40"/>
        </c:scaling>
        <c:delete val="0"/>
        <c:axPos val="b"/>
        <c:title>
          <c:tx>
            <c:rich>
              <a:bodyPr rot="0" vert="horz"/>
              <a:lstStyle/>
              <a:p>
                <a:pPr algn="l">
                  <a:defRPr sz="1100" b="0" i="1">
                    <a:solidFill>
                      <a:srgbClr val="595959"/>
                    </a:solidFill>
                    <a:latin typeface="Aptos" panose="020B0004020202020204" pitchFamily="34" charset="0"/>
                  </a:defRPr>
                </a:pPr>
                <a:r>
                  <a:rPr lang="en-US" sz="1100" b="0" i="1">
                    <a:solidFill>
                      <a:srgbClr val="595959"/>
                    </a:solidFill>
                    <a:latin typeface="Aptos" panose="020B0004020202020204" pitchFamily="34" charset="0"/>
                  </a:rPr>
                  <a:t>Reach — % of respondents who use the feature</a:t>
                </a:r>
              </a:p>
            </c:rich>
          </c:tx>
          <c:overlay val="0"/>
        </c:title>
        <c:numFmt formatCode="0&quot;%&quot;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  <a:latin typeface="Aptos" panose="020B0004020202020204" pitchFamily="34" charset="0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  <c:max val="0.95"/>
          <c:min val="0.3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525"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1100" b="0">
                <a:solidFill>
                  <a:srgbClr val="595959"/>
                </a:solidFill>
                <a:latin typeface="Aptos" panose="020B0004020202020204" pitchFamily="34" charset="0"/>
              </a:defRPr>
            </a:pPr>
            <a:endParaRPr lang="en-US"/>
          </a:p>
        </c:txPr>
        <c:crossAx val="10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26</xdr:row>
          <xdr:rowOff>0</xdr:rowOff>
        </xdr:from>
        <xdr:to>
          <xdr:col>26</xdr:col>
          <xdr:colOff>400050</xdr:colOff>
          <xdr:row>43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F538E6C6-0557-762D-0BBF-9AE5C2C1AD7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:$H$23" spid="_x0000_s82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744325" y="5257800"/>
              <a:ext cx="6496050" cy="3238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3</xdr:row>
          <xdr:rowOff>0</xdr:rowOff>
        </xdr:from>
        <xdr:to>
          <xdr:col>29</xdr:col>
          <xdr:colOff>333375</xdr:colOff>
          <xdr:row>19</xdr:row>
          <xdr:rowOff>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EF67FB0-D8C7-7BE0-C840-4FC3394A414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:$L$23" spid="_x0000_s821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1306175" y="685800"/>
              <a:ext cx="8867775" cy="3238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361949</xdr:colOff>
      <xdr:row>14</xdr:row>
      <xdr:rowOff>161925</xdr:rowOff>
    </xdr:from>
    <xdr:to>
      <xdr:col>21</xdr:col>
      <xdr:colOff>155140</xdr:colOff>
      <xdr:row>41</xdr:row>
      <xdr:rowOff>58425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02699D4-2AA7-C9AB-247B-BD04DDA09242}"/>
            </a:ext>
          </a:extLst>
        </xdr:cNvPr>
        <xdr:cNvGrpSpPr/>
      </xdr:nvGrpSpPr>
      <xdr:grpSpPr>
        <a:xfrm>
          <a:off x="2186353" y="2946156"/>
          <a:ext cx="10739614" cy="5040000"/>
          <a:chOff x="2186353" y="2946156"/>
          <a:chExt cx="10739614" cy="50400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500-000002000000}"/>
              </a:ext>
            </a:extLst>
          </xdr:cNvPr>
          <xdr:cNvGraphicFramePr/>
        </xdr:nvGraphicFramePr>
        <xdr:xfrm>
          <a:off x="2186353" y="2946156"/>
          <a:ext cx="9058275" cy="50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89A3D14-6297-4C04-A37F-D3CB44EA5797}"/>
              </a:ext>
            </a:extLst>
          </xdr:cNvPr>
          <xdr:cNvSpPr txBox="1"/>
        </xdr:nvSpPr>
        <xdr:spPr>
          <a:xfrm>
            <a:off x="11213124" y="4012956"/>
            <a:ext cx="1696278" cy="655949"/>
          </a:xfrm>
          <a:prstGeom prst="rect">
            <a:avLst/>
          </a:prstGeom>
          <a:solidFill>
            <a:srgbClr val="0F3762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200">
                <a:solidFill>
                  <a:schemeClr val="bg1"/>
                </a:solidFill>
                <a:latin typeface="Aptos" panose="020B0004020202020204" pitchFamily="34" charset="0"/>
              </a:rPr>
              <a:t>Search and the mobile app continue to top user satisfaction.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CC64A08-B4C8-4CD7-A596-AC5EDEA01819}"/>
              </a:ext>
            </a:extLst>
          </xdr:cNvPr>
          <xdr:cNvSpPr txBox="1"/>
        </xdr:nvSpPr>
        <xdr:spPr>
          <a:xfrm>
            <a:off x="11221406" y="5021843"/>
            <a:ext cx="1704561" cy="1219565"/>
          </a:xfrm>
          <a:prstGeom prst="rect">
            <a:avLst/>
          </a:prstGeom>
          <a:solidFill>
            <a:srgbClr val="BF570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200">
                <a:solidFill>
                  <a:schemeClr val="bg1"/>
                </a:solidFill>
                <a:latin typeface="Aptos" panose="020B0004020202020204" pitchFamily="34" charset="0"/>
              </a:rPr>
              <a:t>Users are least satisfied with bulk edit and guest access. What improvements can we make here for a better experience?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ADAE59FC-C27E-46FC-8F6C-B087EF5827F7}"/>
              </a:ext>
            </a:extLst>
          </xdr:cNvPr>
          <xdr:cNvSpPr txBox="1"/>
        </xdr:nvSpPr>
        <xdr:spPr>
          <a:xfrm>
            <a:off x="11228654" y="6586429"/>
            <a:ext cx="1689030" cy="1219565"/>
          </a:xfrm>
          <a:prstGeom prst="rect">
            <a:avLst/>
          </a:prstGeom>
          <a:solidFill>
            <a:srgbClr val="0D7680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200">
                <a:solidFill>
                  <a:schemeClr val="bg1"/>
                </a:solidFill>
                <a:latin typeface="Aptos" panose="020B0004020202020204" pitchFamily="34" charset="0"/>
              </a:rPr>
              <a:t>API access is least used — half have never touched it. What can we do to raise utilisation among existing users?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6E05632-932C-4199-8280-85B3B93B65AC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d087f561-524d-43b1-9872-5468d0b0608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showGridLines="0" workbookViewId="0">
      <selection activeCell="W25" sqref="W25"/>
    </sheetView>
  </sheetViews>
  <sheetFormatPr defaultRowHeight="15" x14ac:dyDescent="0.25"/>
  <cols>
    <col min="2" max="2" width="16" customWidth="1"/>
    <col min="3" max="8" width="13.5703125" customWidth="1"/>
    <col min="9" max="9" width="1.42578125" customWidth="1"/>
    <col min="10" max="10" width="9" customWidth="1"/>
    <col min="11" max="11" width="12" customWidth="1"/>
    <col min="12" max="12" width="13.140625" customWidth="1"/>
  </cols>
  <sheetData>
    <row r="2" spans="2:12" ht="24" customHeight="1" x14ac:dyDescent="0.25">
      <c r="B2" s="1" t="s">
        <v>0</v>
      </c>
    </row>
    <row r="3" spans="2:12" x14ac:dyDescent="0.25">
      <c r="B3" s="2" t="s">
        <v>1</v>
      </c>
    </row>
    <row r="5" spans="2:12" x14ac:dyDescent="0.25">
      <c r="B5" s="3" t="s">
        <v>2</v>
      </c>
    </row>
    <row r="8" spans="2:12" ht="30" x14ac:dyDescent="0.25">
      <c r="B8" s="13" t="s">
        <v>3</v>
      </c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J8" s="14" t="s">
        <v>10</v>
      </c>
      <c r="K8" s="14" t="s">
        <v>11</v>
      </c>
      <c r="L8" s="14" t="s">
        <v>12</v>
      </c>
    </row>
    <row r="9" spans="2:12" x14ac:dyDescent="0.25">
      <c r="B9" s="15" t="s">
        <v>13</v>
      </c>
      <c r="C9" s="16">
        <v>0</v>
      </c>
      <c r="D9" s="16">
        <v>1</v>
      </c>
      <c r="E9" s="16">
        <v>1</v>
      </c>
      <c r="F9" s="16">
        <v>11</v>
      </c>
      <c r="G9" s="16">
        <v>40</v>
      </c>
      <c r="H9" s="16">
        <v>47</v>
      </c>
      <c r="J9" s="16">
        <f t="shared" ref="J9:J23" si="0">SUM(D9:H9)</f>
        <v>100</v>
      </c>
      <c r="K9" s="19">
        <f>(G9+H9)/J9</f>
        <v>0.87</v>
      </c>
      <c r="L9" s="19">
        <f>(D9+E9)/J9</f>
        <v>0.02</v>
      </c>
    </row>
    <row r="10" spans="2:12" x14ac:dyDescent="0.25">
      <c r="B10" s="15" t="s">
        <v>14</v>
      </c>
      <c r="C10" s="16">
        <v>1</v>
      </c>
      <c r="D10" s="16">
        <v>2</v>
      </c>
      <c r="E10" s="16">
        <v>1</v>
      </c>
      <c r="F10" s="16">
        <v>13</v>
      </c>
      <c r="G10" s="16">
        <v>36</v>
      </c>
      <c r="H10" s="16">
        <v>47</v>
      </c>
      <c r="J10" s="16">
        <f t="shared" si="0"/>
        <v>99</v>
      </c>
      <c r="K10" s="19">
        <f t="shared" ref="K10:K23" si="1">(G10+H10)/J10</f>
        <v>0.83838383838383834</v>
      </c>
      <c r="L10" s="19">
        <f t="shared" ref="L10:L23" si="2">(D10+E10)/J10</f>
        <v>3.0303030303030304E-2</v>
      </c>
    </row>
    <row r="11" spans="2:12" x14ac:dyDescent="0.25">
      <c r="B11" s="15" t="s">
        <v>15</v>
      </c>
      <c r="C11" s="16">
        <v>2</v>
      </c>
      <c r="D11" s="16">
        <v>2</v>
      </c>
      <c r="E11" s="16">
        <v>5</v>
      </c>
      <c r="F11" s="16">
        <v>24</v>
      </c>
      <c r="G11" s="16">
        <v>34</v>
      </c>
      <c r="H11" s="16">
        <v>33</v>
      </c>
      <c r="J11" s="16">
        <f t="shared" si="0"/>
        <v>98</v>
      </c>
      <c r="K11" s="19">
        <f t="shared" si="1"/>
        <v>0.68367346938775508</v>
      </c>
      <c r="L11" s="19">
        <f t="shared" si="2"/>
        <v>7.1428571428571425E-2</v>
      </c>
    </row>
    <row r="12" spans="2:12" x14ac:dyDescent="0.25">
      <c r="B12" s="15" t="s">
        <v>16</v>
      </c>
      <c r="C12" s="16">
        <v>7</v>
      </c>
      <c r="D12" s="16">
        <v>2</v>
      </c>
      <c r="E12" s="16">
        <v>4</v>
      </c>
      <c r="F12" s="16">
        <v>21</v>
      </c>
      <c r="G12" s="16">
        <v>37</v>
      </c>
      <c r="H12" s="16">
        <v>29</v>
      </c>
      <c r="J12" s="16">
        <f t="shared" si="0"/>
        <v>93</v>
      </c>
      <c r="K12" s="19">
        <f t="shared" si="1"/>
        <v>0.70967741935483875</v>
      </c>
      <c r="L12" s="19">
        <f t="shared" si="2"/>
        <v>6.4516129032258063E-2</v>
      </c>
    </row>
    <row r="13" spans="2:12" x14ac:dyDescent="0.25">
      <c r="B13" s="15" t="s">
        <v>17</v>
      </c>
      <c r="C13" s="16">
        <v>5</v>
      </c>
      <c r="D13" s="16">
        <v>2</v>
      </c>
      <c r="E13" s="16">
        <v>6</v>
      </c>
      <c r="F13" s="16">
        <v>23</v>
      </c>
      <c r="G13" s="16">
        <v>36</v>
      </c>
      <c r="H13" s="16">
        <v>28</v>
      </c>
      <c r="J13" s="16">
        <f t="shared" si="0"/>
        <v>95</v>
      </c>
      <c r="K13" s="19">
        <f t="shared" si="1"/>
        <v>0.67368421052631577</v>
      </c>
      <c r="L13" s="19">
        <f t="shared" si="2"/>
        <v>8.4210526315789472E-2</v>
      </c>
    </row>
    <row r="14" spans="2:12" x14ac:dyDescent="0.25">
      <c r="B14" s="15" t="s">
        <v>18</v>
      </c>
      <c r="C14" s="16">
        <v>13</v>
      </c>
      <c r="D14" s="16">
        <v>2</v>
      </c>
      <c r="E14" s="16">
        <v>5</v>
      </c>
      <c r="F14" s="16">
        <v>20</v>
      </c>
      <c r="G14" s="16">
        <v>35</v>
      </c>
      <c r="H14" s="16">
        <v>25</v>
      </c>
      <c r="J14" s="16">
        <f t="shared" si="0"/>
        <v>87</v>
      </c>
      <c r="K14" s="19">
        <f t="shared" si="1"/>
        <v>0.68965517241379315</v>
      </c>
      <c r="L14" s="19">
        <f t="shared" si="2"/>
        <v>8.0459770114942528E-2</v>
      </c>
    </row>
    <row r="15" spans="2:12" x14ac:dyDescent="0.25">
      <c r="B15" s="15" t="s">
        <v>19</v>
      </c>
      <c r="C15" s="16">
        <v>18</v>
      </c>
      <c r="D15" s="16">
        <v>3</v>
      </c>
      <c r="E15" s="16">
        <v>5</v>
      </c>
      <c r="F15" s="16">
        <v>15</v>
      </c>
      <c r="G15" s="16">
        <v>26</v>
      </c>
      <c r="H15" s="16">
        <v>33</v>
      </c>
      <c r="J15" s="16">
        <f t="shared" si="0"/>
        <v>82</v>
      </c>
      <c r="K15" s="19">
        <f t="shared" si="1"/>
        <v>0.71951219512195119</v>
      </c>
      <c r="L15" s="19">
        <f t="shared" si="2"/>
        <v>9.7560975609756101E-2</v>
      </c>
    </row>
    <row r="16" spans="2:12" x14ac:dyDescent="0.25">
      <c r="B16" s="15" t="s">
        <v>20</v>
      </c>
      <c r="C16" s="16">
        <v>11</v>
      </c>
      <c r="D16" s="16">
        <v>3</v>
      </c>
      <c r="E16" s="16">
        <v>6</v>
      </c>
      <c r="F16" s="16">
        <v>23</v>
      </c>
      <c r="G16" s="16">
        <v>32</v>
      </c>
      <c r="H16" s="16">
        <v>25</v>
      </c>
      <c r="J16" s="16">
        <f t="shared" si="0"/>
        <v>89</v>
      </c>
      <c r="K16" s="19">
        <f t="shared" si="1"/>
        <v>0.6404494382022472</v>
      </c>
      <c r="L16" s="19">
        <f t="shared" si="2"/>
        <v>0.10112359550561797</v>
      </c>
    </row>
    <row r="17" spans="2:12" x14ac:dyDescent="0.25">
      <c r="B17" s="15" t="s">
        <v>21</v>
      </c>
      <c r="C17" s="16">
        <v>21</v>
      </c>
      <c r="D17" s="16">
        <v>3</v>
      </c>
      <c r="E17" s="16">
        <v>5</v>
      </c>
      <c r="F17" s="16">
        <v>17</v>
      </c>
      <c r="G17" s="16">
        <v>27</v>
      </c>
      <c r="H17" s="16">
        <v>27</v>
      </c>
      <c r="J17" s="16">
        <f t="shared" si="0"/>
        <v>79</v>
      </c>
      <c r="K17" s="19">
        <f t="shared" si="1"/>
        <v>0.68354430379746833</v>
      </c>
      <c r="L17" s="19">
        <f t="shared" si="2"/>
        <v>0.10126582278481013</v>
      </c>
    </row>
    <row r="18" spans="2:12" x14ac:dyDescent="0.25">
      <c r="B18" s="15" t="s">
        <v>22</v>
      </c>
      <c r="C18" s="16">
        <v>2</v>
      </c>
      <c r="D18" s="16">
        <v>8</v>
      </c>
      <c r="E18" s="16">
        <v>14</v>
      </c>
      <c r="F18" s="16">
        <v>24</v>
      </c>
      <c r="G18" s="16">
        <v>27</v>
      </c>
      <c r="H18" s="16">
        <v>25</v>
      </c>
      <c r="J18" s="16">
        <f t="shared" si="0"/>
        <v>98</v>
      </c>
      <c r="K18" s="19">
        <f t="shared" si="1"/>
        <v>0.53061224489795922</v>
      </c>
      <c r="L18" s="19">
        <f t="shared" si="2"/>
        <v>0.22448979591836735</v>
      </c>
    </row>
    <row r="19" spans="2:12" x14ac:dyDescent="0.25">
      <c r="B19" s="15" t="s">
        <v>23</v>
      </c>
      <c r="C19" s="16">
        <v>27</v>
      </c>
      <c r="D19" s="16">
        <v>3</v>
      </c>
      <c r="E19" s="16">
        <v>4</v>
      </c>
      <c r="F19" s="16">
        <v>17</v>
      </c>
      <c r="G19" s="16">
        <v>28</v>
      </c>
      <c r="H19" s="16">
        <v>21</v>
      </c>
      <c r="J19" s="16">
        <f t="shared" si="0"/>
        <v>73</v>
      </c>
      <c r="K19" s="19">
        <f t="shared" si="1"/>
        <v>0.67123287671232879</v>
      </c>
      <c r="L19" s="19">
        <f t="shared" si="2"/>
        <v>9.5890410958904104E-2</v>
      </c>
    </row>
    <row r="20" spans="2:12" x14ac:dyDescent="0.25">
      <c r="B20" s="15" t="s">
        <v>24</v>
      </c>
      <c r="C20" s="16">
        <v>27</v>
      </c>
      <c r="D20" s="16">
        <v>3</v>
      </c>
      <c r="E20" s="16">
        <v>4</v>
      </c>
      <c r="F20" s="16">
        <v>23</v>
      </c>
      <c r="G20" s="16">
        <v>27</v>
      </c>
      <c r="H20" s="16">
        <v>16</v>
      </c>
      <c r="J20" s="16">
        <f t="shared" si="0"/>
        <v>73</v>
      </c>
      <c r="K20" s="19">
        <f t="shared" si="1"/>
        <v>0.58904109589041098</v>
      </c>
      <c r="L20" s="19">
        <f t="shared" si="2"/>
        <v>9.5890410958904104E-2</v>
      </c>
    </row>
    <row r="21" spans="2:12" x14ac:dyDescent="0.25">
      <c r="B21" s="15" t="s">
        <v>25</v>
      </c>
      <c r="C21" s="16">
        <v>33</v>
      </c>
      <c r="D21" s="16">
        <v>3</v>
      </c>
      <c r="E21" s="16">
        <v>8</v>
      </c>
      <c r="F21" s="16">
        <v>25</v>
      </c>
      <c r="G21" s="16">
        <v>18</v>
      </c>
      <c r="H21" s="16">
        <v>13</v>
      </c>
      <c r="J21" s="16">
        <f t="shared" si="0"/>
        <v>67</v>
      </c>
      <c r="K21" s="19">
        <f t="shared" si="1"/>
        <v>0.46268656716417911</v>
      </c>
      <c r="L21" s="19">
        <f t="shared" si="2"/>
        <v>0.16417910447761194</v>
      </c>
    </row>
    <row r="22" spans="2:12" x14ac:dyDescent="0.25">
      <c r="B22" s="15" t="s">
        <v>26</v>
      </c>
      <c r="C22" s="16">
        <v>26</v>
      </c>
      <c r="D22" s="16">
        <v>9</v>
      </c>
      <c r="E22" s="16">
        <v>14</v>
      </c>
      <c r="F22" s="16">
        <v>24</v>
      </c>
      <c r="G22" s="16">
        <v>17</v>
      </c>
      <c r="H22" s="16">
        <v>10</v>
      </c>
      <c r="J22" s="16">
        <f t="shared" si="0"/>
        <v>74</v>
      </c>
      <c r="K22" s="19">
        <f t="shared" si="1"/>
        <v>0.36486486486486486</v>
      </c>
      <c r="L22" s="19">
        <f t="shared" si="2"/>
        <v>0.3108108108108108</v>
      </c>
    </row>
    <row r="23" spans="2:12" x14ac:dyDescent="0.25">
      <c r="B23" s="15" t="s">
        <v>27</v>
      </c>
      <c r="C23" s="16">
        <v>50</v>
      </c>
      <c r="D23" s="16">
        <v>2</v>
      </c>
      <c r="E23" s="16">
        <v>6</v>
      </c>
      <c r="F23" s="16">
        <v>15</v>
      </c>
      <c r="G23" s="16">
        <v>16</v>
      </c>
      <c r="H23" s="16">
        <v>11</v>
      </c>
      <c r="J23" s="16">
        <f t="shared" si="0"/>
        <v>50</v>
      </c>
      <c r="K23" s="19">
        <f t="shared" si="1"/>
        <v>0.54</v>
      </c>
      <c r="L23" s="19">
        <f t="shared" si="2"/>
        <v>0.16</v>
      </c>
    </row>
    <row r="25" spans="2:12" x14ac:dyDescent="0.25">
      <c r="B25" s="3" t="s">
        <v>28</v>
      </c>
    </row>
    <row r="26" spans="2:12" x14ac:dyDescent="0.25">
      <c r="B26" s="3" t="s">
        <v>29</v>
      </c>
    </row>
  </sheetData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6"/>
  <sheetViews>
    <sheetView showGridLines="0" workbookViewId="0">
      <selection activeCell="V12" sqref="V12"/>
    </sheetView>
  </sheetViews>
  <sheetFormatPr defaultRowHeight="15" x14ac:dyDescent="0.25"/>
  <sheetData>
    <row r="2" spans="2:20" ht="24" customHeight="1" x14ac:dyDescent="0.25">
      <c r="B2" s="1" t="s">
        <v>0</v>
      </c>
    </row>
    <row r="3" spans="2:20" x14ac:dyDescent="0.25">
      <c r="B3" s="2" t="s">
        <v>1</v>
      </c>
    </row>
    <row r="4" spans="2:20" x14ac:dyDescent="0.25">
      <c r="T4" s="17" t="s">
        <v>59</v>
      </c>
    </row>
    <row r="5" spans="2:20" x14ac:dyDescent="0.25">
      <c r="B5" s="3" t="s">
        <v>30</v>
      </c>
      <c r="T5" s="18"/>
    </row>
    <row r="6" spans="2:20" x14ac:dyDescent="0.25">
      <c r="T6" s="18" t="s">
        <v>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showGridLines="0" tabSelected="1" workbookViewId="0">
      <selection activeCell="W21" sqref="W21"/>
    </sheetView>
  </sheetViews>
  <sheetFormatPr defaultRowHeight="15" x14ac:dyDescent="0.25"/>
  <sheetData>
    <row r="2" spans="2:2" ht="24" customHeight="1" x14ac:dyDescent="0.25">
      <c r="B2" s="1" t="s">
        <v>31</v>
      </c>
    </row>
    <row r="3" spans="2:2" x14ac:dyDescent="0.25">
      <c r="B3" s="2" t="s">
        <v>32</v>
      </c>
    </row>
    <row r="5" spans="2:2" x14ac:dyDescent="0.25">
      <c r="B5" s="3" t="s">
        <v>33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55"/>
  <sheetViews>
    <sheetView showGridLines="0" workbookViewId="0">
      <selection activeCell="R41" sqref="R41"/>
    </sheetView>
  </sheetViews>
  <sheetFormatPr defaultRowHeight="15" x14ac:dyDescent="0.25"/>
  <sheetData>
    <row r="2" spans="2:2" ht="24" customHeight="1" x14ac:dyDescent="0.25">
      <c r="B2" s="1" t="s">
        <v>34</v>
      </c>
    </row>
    <row r="3" spans="2:2" x14ac:dyDescent="0.25">
      <c r="B3" s="2" t="s">
        <v>35</v>
      </c>
    </row>
    <row r="5" spans="2:2" x14ac:dyDescent="0.25">
      <c r="B5" s="3" t="s">
        <v>36</v>
      </c>
    </row>
    <row r="38" spans="2:8" x14ac:dyDescent="0.25">
      <c r="B38" s="3" t="s">
        <v>37</v>
      </c>
    </row>
    <row r="40" spans="2:8" ht="20.100000000000001" customHeight="1" x14ac:dyDescent="0.25">
      <c r="B40" s="4" t="s">
        <v>3</v>
      </c>
      <c r="C40" s="4" t="s">
        <v>4</v>
      </c>
      <c r="D40" s="4" t="s">
        <v>5</v>
      </c>
      <c r="E40" s="4" t="s">
        <v>6</v>
      </c>
      <c r="F40" s="4" t="s">
        <v>7</v>
      </c>
      <c r="G40" s="4" t="s">
        <v>8</v>
      </c>
      <c r="H40" s="4" t="s">
        <v>9</v>
      </c>
    </row>
    <row r="41" spans="2:8" x14ac:dyDescent="0.25">
      <c r="B41" s="5" t="str">
        <f>Data!B22</f>
        <v>Guest access</v>
      </c>
      <c r="C41" s="6">
        <f>Data!C22</f>
        <v>26</v>
      </c>
      <c r="D41" s="6">
        <f>Data!D22</f>
        <v>9</v>
      </c>
      <c r="E41" s="6">
        <f>Data!E22</f>
        <v>14</v>
      </c>
      <c r="F41" s="6">
        <f>Data!F22</f>
        <v>24</v>
      </c>
      <c r="G41" s="6">
        <f>Data!G22</f>
        <v>17</v>
      </c>
      <c r="H41" s="6">
        <f>Data!H22</f>
        <v>10</v>
      </c>
    </row>
    <row r="42" spans="2:8" x14ac:dyDescent="0.25">
      <c r="B42" s="5" t="str">
        <f>Data!B18</f>
        <v>Bulk edit</v>
      </c>
      <c r="C42" s="6">
        <f>Data!C18</f>
        <v>2</v>
      </c>
      <c r="D42" s="6">
        <f>Data!D18</f>
        <v>8</v>
      </c>
      <c r="E42" s="6">
        <f>Data!E18</f>
        <v>14</v>
      </c>
      <c r="F42" s="6">
        <f>Data!F18</f>
        <v>24</v>
      </c>
      <c r="G42" s="6">
        <f>Data!G18</f>
        <v>27</v>
      </c>
      <c r="H42" s="6">
        <f>Data!H18</f>
        <v>25</v>
      </c>
    </row>
    <row r="43" spans="2:8" x14ac:dyDescent="0.25">
      <c r="B43" s="5" t="str">
        <f>Data!B21</f>
        <v>Report export</v>
      </c>
      <c r="C43" s="6">
        <f>Data!C21</f>
        <v>33</v>
      </c>
      <c r="D43" s="6">
        <f>Data!D21</f>
        <v>3</v>
      </c>
      <c r="E43" s="6">
        <f>Data!E21</f>
        <v>8</v>
      </c>
      <c r="F43" s="6">
        <f>Data!F21</f>
        <v>25</v>
      </c>
      <c r="G43" s="6">
        <f>Data!G21</f>
        <v>18</v>
      </c>
      <c r="H43" s="6">
        <f>Data!H21</f>
        <v>13</v>
      </c>
    </row>
    <row r="44" spans="2:8" x14ac:dyDescent="0.25">
      <c r="B44" s="5" t="str">
        <f>Data!B16</f>
        <v>Templates</v>
      </c>
      <c r="C44" s="6">
        <f>Data!C16</f>
        <v>11</v>
      </c>
      <c r="D44" s="6">
        <f>Data!D16</f>
        <v>3</v>
      </c>
      <c r="E44" s="6">
        <f>Data!E16</f>
        <v>6</v>
      </c>
      <c r="F44" s="6">
        <f>Data!F16</f>
        <v>23</v>
      </c>
      <c r="G44" s="6">
        <f>Data!G16</f>
        <v>32</v>
      </c>
      <c r="H44" s="6">
        <f>Data!H16</f>
        <v>25</v>
      </c>
    </row>
    <row r="45" spans="2:8" x14ac:dyDescent="0.25">
      <c r="B45" s="5" t="str">
        <f>Data!B13</f>
        <v>Calendar sync</v>
      </c>
      <c r="C45" s="6">
        <f>Data!C13</f>
        <v>5</v>
      </c>
      <c r="D45" s="6">
        <f>Data!D13</f>
        <v>2</v>
      </c>
      <c r="E45" s="6">
        <f>Data!E13</f>
        <v>6</v>
      </c>
      <c r="F45" s="6">
        <f>Data!F13</f>
        <v>23</v>
      </c>
      <c r="G45" s="6">
        <f>Data!G13</f>
        <v>36</v>
      </c>
      <c r="H45" s="6">
        <f>Data!H13</f>
        <v>28</v>
      </c>
    </row>
    <row r="46" spans="2:8" x14ac:dyDescent="0.25">
      <c r="B46" s="5" t="str">
        <f>Data!B15</f>
        <v>Task comments</v>
      </c>
      <c r="C46" s="6">
        <f>Data!C15</f>
        <v>18</v>
      </c>
      <c r="D46" s="6">
        <f>Data!D15</f>
        <v>3</v>
      </c>
      <c r="E46" s="6">
        <f>Data!E15</f>
        <v>5</v>
      </c>
      <c r="F46" s="6">
        <f>Data!F15</f>
        <v>15</v>
      </c>
      <c r="G46" s="6">
        <f>Data!G15</f>
        <v>26</v>
      </c>
      <c r="H46" s="6">
        <f>Data!H15</f>
        <v>33</v>
      </c>
    </row>
    <row r="47" spans="2:8" x14ac:dyDescent="0.25">
      <c r="B47" s="5" t="str">
        <f>Data!B17</f>
        <v>Time tracking</v>
      </c>
      <c r="C47" s="6">
        <f>Data!C17</f>
        <v>21</v>
      </c>
      <c r="D47" s="6">
        <f>Data!D17</f>
        <v>3</v>
      </c>
      <c r="E47" s="6">
        <f>Data!E17</f>
        <v>5</v>
      </c>
      <c r="F47" s="6">
        <f>Data!F17</f>
        <v>17</v>
      </c>
      <c r="G47" s="6">
        <f>Data!G17</f>
        <v>27</v>
      </c>
      <c r="H47" s="6">
        <f>Data!H17</f>
        <v>27</v>
      </c>
    </row>
    <row r="48" spans="2:8" x14ac:dyDescent="0.25">
      <c r="B48" s="5" t="str">
        <f>Data!B23</f>
        <v>API access</v>
      </c>
      <c r="C48" s="6">
        <f>Data!C23</f>
        <v>50</v>
      </c>
      <c r="D48" s="6">
        <f>Data!D23</f>
        <v>2</v>
      </c>
      <c r="E48" s="6">
        <f>Data!E23</f>
        <v>6</v>
      </c>
      <c r="F48" s="6">
        <f>Data!F23</f>
        <v>15</v>
      </c>
      <c r="G48" s="6">
        <f>Data!G23</f>
        <v>16</v>
      </c>
      <c r="H48" s="6">
        <f>Data!H23</f>
        <v>11</v>
      </c>
    </row>
    <row r="49" spans="2:8" x14ac:dyDescent="0.25">
      <c r="B49" s="5" t="str">
        <f>Data!B11</f>
        <v>Notifications</v>
      </c>
      <c r="C49" s="6">
        <f>Data!C11</f>
        <v>2</v>
      </c>
      <c r="D49" s="6">
        <f>Data!D11</f>
        <v>2</v>
      </c>
      <c r="E49" s="6">
        <f>Data!E11</f>
        <v>5</v>
      </c>
      <c r="F49" s="6">
        <f>Data!F11</f>
        <v>24</v>
      </c>
      <c r="G49" s="6">
        <f>Data!G11</f>
        <v>34</v>
      </c>
      <c r="H49" s="6">
        <f>Data!H11</f>
        <v>33</v>
      </c>
    </row>
    <row r="50" spans="2:8" x14ac:dyDescent="0.25">
      <c r="B50" s="5" t="str">
        <f>Data!B14</f>
        <v>Dashboards</v>
      </c>
      <c r="C50" s="6">
        <f>Data!C14</f>
        <v>13</v>
      </c>
      <c r="D50" s="6">
        <f>Data!D14</f>
        <v>2</v>
      </c>
      <c r="E50" s="6">
        <f>Data!E14</f>
        <v>5</v>
      </c>
      <c r="F50" s="6">
        <f>Data!F14</f>
        <v>20</v>
      </c>
      <c r="G50" s="6">
        <f>Data!G14</f>
        <v>35</v>
      </c>
      <c r="H50" s="6">
        <f>Data!H14</f>
        <v>25</v>
      </c>
    </row>
    <row r="51" spans="2:8" x14ac:dyDescent="0.25">
      <c r="B51" s="5" t="str">
        <f>Data!B19</f>
        <v>Custom fields</v>
      </c>
      <c r="C51" s="6">
        <f>Data!C19</f>
        <v>27</v>
      </c>
      <c r="D51" s="6">
        <f>Data!D19</f>
        <v>3</v>
      </c>
      <c r="E51" s="6">
        <f>Data!E19</f>
        <v>4</v>
      </c>
      <c r="F51" s="6">
        <f>Data!F19</f>
        <v>17</v>
      </c>
      <c r="G51" s="6">
        <f>Data!G19</f>
        <v>28</v>
      </c>
      <c r="H51" s="6">
        <f>Data!H19</f>
        <v>21</v>
      </c>
    </row>
    <row r="52" spans="2:8" x14ac:dyDescent="0.25">
      <c r="B52" s="5" t="str">
        <f>Data!B20</f>
        <v>Automations</v>
      </c>
      <c r="C52" s="6">
        <f>Data!C20</f>
        <v>27</v>
      </c>
      <c r="D52" s="6">
        <f>Data!D20</f>
        <v>3</v>
      </c>
      <c r="E52" s="6">
        <f>Data!E20</f>
        <v>4</v>
      </c>
      <c r="F52" s="6">
        <f>Data!F20</f>
        <v>23</v>
      </c>
      <c r="G52" s="6">
        <f>Data!G20</f>
        <v>27</v>
      </c>
      <c r="H52" s="6">
        <f>Data!H20</f>
        <v>16</v>
      </c>
    </row>
    <row r="53" spans="2:8" x14ac:dyDescent="0.25">
      <c r="B53" s="5" t="str">
        <f>Data!B12</f>
        <v>File sharing</v>
      </c>
      <c r="C53" s="6">
        <f>Data!C12</f>
        <v>7</v>
      </c>
      <c r="D53" s="6">
        <f>Data!D12</f>
        <v>2</v>
      </c>
      <c r="E53" s="6">
        <f>Data!E12</f>
        <v>4</v>
      </c>
      <c r="F53" s="6">
        <f>Data!F12</f>
        <v>21</v>
      </c>
      <c r="G53" s="6">
        <f>Data!G12</f>
        <v>37</v>
      </c>
      <c r="H53" s="6">
        <f>Data!H12</f>
        <v>29</v>
      </c>
    </row>
    <row r="54" spans="2:8" x14ac:dyDescent="0.25">
      <c r="B54" s="5" t="str">
        <f>Data!B10</f>
        <v>Mobile app</v>
      </c>
      <c r="C54" s="6">
        <f>Data!C10</f>
        <v>1</v>
      </c>
      <c r="D54" s="6">
        <f>Data!D10</f>
        <v>2</v>
      </c>
      <c r="E54" s="6">
        <f>Data!E10</f>
        <v>1</v>
      </c>
      <c r="F54" s="6">
        <f>Data!F10</f>
        <v>13</v>
      </c>
      <c r="G54" s="6">
        <f>Data!G10</f>
        <v>36</v>
      </c>
      <c r="H54" s="6">
        <f>Data!H10</f>
        <v>47</v>
      </c>
    </row>
    <row r="55" spans="2:8" x14ac:dyDescent="0.25">
      <c r="B55" s="5" t="str">
        <f>Data!B9</f>
        <v>Search</v>
      </c>
      <c r="C55" s="6">
        <f>Data!C9</f>
        <v>0</v>
      </c>
      <c r="D55" s="6">
        <f>Data!D9</f>
        <v>1</v>
      </c>
      <c r="E55" s="6">
        <f>Data!E9</f>
        <v>1</v>
      </c>
      <c r="F55" s="6">
        <f>Data!F9</f>
        <v>11</v>
      </c>
      <c r="G55" s="6">
        <f>Data!G9</f>
        <v>40</v>
      </c>
      <c r="H55" s="6">
        <f>Data!H9</f>
        <v>47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55"/>
  <sheetViews>
    <sheetView showGridLines="0" workbookViewId="0">
      <selection activeCell="R36" sqref="R36"/>
    </sheetView>
  </sheetViews>
  <sheetFormatPr defaultRowHeight="15" x14ac:dyDescent="0.25"/>
  <sheetData>
    <row r="2" spans="2:2" ht="24" customHeight="1" x14ac:dyDescent="0.25">
      <c r="B2" s="1" t="s">
        <v>38</v>
      </c>
    </row>
    <row r="3" spans="2:2" x14ac:dyDescent="0.25">
      <c r="B3" s="2" t="s">
        <v>39</v>
      </c>
    </row>
    <row r="5" spans="2:2" x14ac:dyDescent="0.25">
      <c r="B5" s="3" t="s">
        <v>40</v>
      </c>
    </row>
    <row r="38" spans="2:8" x14ac:dyDescent="0.25">
      <c r="B38" s="3" t="s">
        <v>41</v>
      </c>
    </row>
    <row r="40" spans="2:8" ht="20.100000000000001" customHeight="1" x14ac:dyDescent="0.25">
      <c r="B40" s="4" t="s">
        <v>3</v>
      </c>
      <c r="C40" s="4" t="s">
        <v>4</v>
      </c>
      <c r="D40" s="4" t="s">
        <v>5</v>
      </c>
      <c r="E40" s="4" t="s">
        <v>6</v>
      </c>
      <c r="F40" s="4" t="s">
        <v>7</v>
      </c>
      <c r="G40" s="4" t="s">
        <v>8</v>
      </c>
      <c r="H40" s="4" t="s">
        <v>9</v>
      </c>
    </row>
    <row r="41" spans="2:8" x14ac:dyDescent="0.25">
      <c r="B41" s="5" t="str">
        <f>Data!B23</f>
        <v>API access</v>
      </c>
      <c r="C41" s="6">
        <f>Data!C23</f>
        <v>50</v>
      </c>
      <c r="D41" s="6">
        <f>Data!D23</f>
        <v>2</v>
      </c>
      <c r="E41" s="6">
        <f>Data!E23</f>
        <v>6</v>
      </c>
      <c r="F41" s="6">
        <f>Data!F23</f>
        <v>15</v>
      </c>
      <c r="G41" s="6">
        <f>Data!G23</f>
        <v>16</v>
      </c>
      <c r="H41" s="6">
        <f>Data!H23</f>
        <v>11</v>
      </c>
    </row>
    <row r="42" spans="2:8" x14ac:dyDescent="0.25">
      <c r="B42" s="5" t="str">
        <f>Data!B21</f>
        <v>Report export</v>
      </c>
      <c r="C42" s="6">
        <f>Data!C21</f>
        <v>33</v>
      </c>
      <c r="D42" s="6">
        <f>Data!D21</f>
        <v>3</v>
      </c>
      <c r="E42" s="6">
        <f>Data!E21</f>
        <v>8</v>
      </c>
      <c r="F42" s="6">
        <f>Data!F21</f>
        <v>25</v>
      </c>
      <c r="G42" s="6">
        <f>Data!G21</f>
        <v>18</v>
      </c>
      <c r="H42" s="6">
        <f>Data!H21</f>
        <v>13</v>
      </c>
    </row>
    <row r="43" spans="2:8" x14ac:dyDescent="0.25">
      <c r="B43" s="5" t="str">
        <f>Data!B19</f>
        <v>Custom fields</v>
      </c>
      <c r="C43" s="6">
        <f>Data!C19</f>
        <v>27</v>
      </c>
      <c r="D43" s="6">
        <f>Data!D19</f>
        <v>3</v>
      </c>
      <c r="E43" s="6">
        <f>Data!E19</f>
        <v>4</v>
      </c>
      <c r="F43" s="6">
        <f>Data!F19</f>
        <v>17</v>
      </c>
      <c r="G43" s="6">
        <f>Data!G19</f>
        <v>28</v>
      </c>
      <c r="H43" s="6">
        <f>Data!H19</f>
        <v>21</v>
      </c>
    </row>
    <row r="44" spans="2:8" x14ac:dyDescent="0.25">
      <c r="B44" s="5" t="str">
        <f>Data!B20</f>
        <v>Automations</v>
      </c>
      <c r="C44" s="6">
        <f>Data!C20</f>
        <v>27</v>
      </c>
      <c r="D44" s="6">
        <f>Data!D20</f>
        <v>3</v>
      </c>
      <c r="E44" s="6">
        <f>Data!E20</f>
        <v>4</v>
      </c>
      <c r="F44" s="6">
        <f>Data!F20</f>
        <v>23</v>
      </c>
      <c r="G44" s="6">
        <f>Data!G20</f>
        <v>27</v>
      </c>
      <c r="H44" s="6">
        <f>Data!H20</f>
        <v>16</v>
      </c>
    </row>
    <row r="45" spans="2:8" x14ac:dyDescent="0.25">
      <c r="B45" s="5" t="str">
        <f>Data!B22</f>
        <v>Guest access</v>
      </c>
      <c r="C45" s="6">
        <f>Data!C22</f>
        <v>26</v>
      </c>
      <c r="D45" s="6">
        <f>Data!D22</f>
        <v>9</v>
      </c>
      <c r="E45" s="6">
        <f>Data!E22</f>
        <v>14</v>
      </c>
      <c r="F45" s="6">
        <f>Data!F22</f>
        <v>24</v>
      </c>
      <c r="G45" s="6">
        <f>Data!G22</f>
        <v>17</v>
      </c>
      <c r="H45" s="6">
        <f>Data!H22</f>
        <v>10</v>
      </c>
    </row>
    <row r="46" spans="2:8" x14ac:dyDescent="0.25">
      <c r="B46" s="5" t="str">
        <f>Data!B17</f>
        <v>Time tracking</v>
      </c>
      <c r="C46" s="6">
        <f>Data!C17</f>
        <v>21</v>
      </c>
      <c r="D46" s="6">
        <f>Data!D17</f>
        <v>3</v>
      </c>
      <c r="E46" s="6">
        <f>Data!E17</f>
        <v>5</v>
      </c>
      <c r="F46" s="6">
        <f>Data!F17</f>
        <v>17</v>
      </c>
      <c r="G46" s="6">
        <f>Data!G17</f>
        <v>27</v>
      </c>
      <c r="H46" s="6">
        <f>Data!H17</f>
        <v>27</v>
      </c>
    </row>
    <row r="47" spans="2:8" x14ac:dyDescent="0.25">
      <c r="B47" s="5" t="str">
        <f>Data!B15</f>
        <v>Task comments</v>
      </c>
      <c r="C47" s="6">
        <f>Data!C15</f>
        <v>18</v>
      </c>
      <c r="D47" s="6">
        <f>Data!D15</f>
        <v>3</v>
      </c>
      <c r="E47" s="6">
        <f>Data!E15</f>
        <v>5</v>
      </c>
      <c r="F47" s="6">
        <f>Data!F15</f>
        <v>15</v>
      </c>
      <c r="G47" s="6">
        <f>Data!G15</f>
        <v>26</v>
      </c>
      <c r="H47" s="6">
        <f>Data!H15</f>
        <v>33</v>
      </c>
    </row>
    <row r="48" spans="2:8" x14ac:dyDescent="0.25">
      <c r="B48" s="5" t="str">
        <f>Data!B14</f>
        <v>Dashboards</v>
      </c>
      <c r="C48" s="6">
        <f>Data!C14</f>
        <v>13</v>
      </c>
      <c r="D48" s="6">
        <f>Data!D14</f>
        <v>2</v>
      </c>
      <c r="E48" s="6">
        <f>Data!E14</f>
        <v>5</v>
      </c>
      <c r="F48" s="6">
        <f>Data!F14</f>
        <v>20</v>
      </c>
      <c r="G48" s="6">
        <f>Data!G14</f>
        <v>35</v>
      </c>
      <c r="H48" s="6">
        <f>Data!H14</f>
        <v>25</v>
      </c>
    </row>
    <row r="49" spans="2:8" x14ac:dyDescent="0.25">
      <c r="B49" s="5" t="str">
        <f>Data!B16</f>
        <v>Templates</v>
      </c>
      <c r="C49" s="6">
        <f>Data!C16</f>
        <v>11</v>
      </c>
      <c r="D49" s="6">
        <f>Data!D16</f>
        <v>3</v>
      </c>
      <c r="E49" s="6">
        <f>Data!E16</f>
        <v>6</v>
      </c>
      <c r="F49" s="6">
        <f>Data!F16</f>
        <v>23</v>
      </c>
      <c r="G49" s="6">
        <f>Data!G16</f>
        <v>32</v>
      </c>
      <c r="H49" s="6">
        <f>Data!H16</f>
        <v>25</v>
      </c>
    </row>
    <row r="50" spans="2:8" x14ac:dyDescent="0.25">
      <c r="B50" s="5" t="str">
        <f>Data!B12</f>
        <v>File sharing</v>
      </c>
      <c r="C50" s="6">
        <f>Data!C12</f>
        <v>7</v>
      </c>
      <c r="D50" s="6">
        <f>Data!D12</f>
        <v>2</v>
      </c>
      <c r="E50" s="6">
        <f>Data!E12</f>
        <v>4</v>
      </c>
      <c r="F50" s="6">
        <f>Data!F12</f>
        <v>21</v>
      </c>
      <c r="G50" s="6">
        <f>Data!G12</f>
        <v>37</v>
      </c>
      <c r="H50" s="6">
        <f>Data!H12</f>
        <v>29</v>
      </c>
    </row>
    <row r="51" spans="2:8" x14ac:dyDescent="0.25">
      <c r="B51" s="5" t="str">
        <f>Data!B13</f>
        <v>Calendar sync</v>
      </c>
      <c r="C51" s="6">
        <f>Data!C13</f>
        <v>5</v>
      </c>
      <c r="D51" s="6">
        <f>Data!D13</f>
        <v>2</v>
      </c>
      <c r="E51" s="6">
        <f>Data!E13</f>
        <v>6</v>
      </c>
      <c r="F51" s="6">
        <f>Data!F13</f>
        <v>23</v>
      </c>
      <c r="G51" s="6">
        <f>Data!G13</f>
        <v>36</v>
      </c>
      <c r="H51" s="6">
        <f>Data!H13</f>
        <v>28</v>
      </c>
    </row>
    <row r="52" spans="2:8" x14ac:dyDescent="0.25">
      <c r="B52" s="5" t="str">
        <f>Data!B11</f>
        <v>Notifications</v>
      </c>
      <c r="C52" s="6">
        <f>Data!C11</f>
        <v>2</v>
      </c>
      <c r="D52" s="6">
        <f>Data!D11</f>
        <v>2</v>
      </c>
      <c r="E52" s="6">
        <f>Data!E11</f>
        <v>5</v>
      </c>
      <c r="F52" s="6">
        <f>Data!F11</f>
        <v>24</v>
      </c>
      <c r="G52" s="6">
        <f>Data!G11</f>
        <v>34</v>
      </c>
      <c r="H52" s="6">
        <f>Data!H11</f>
        <v>33</v>
      </c>
    </row>
    <row r="53" spans="2:8" x14ac:dyDescent="0.25">
      <c r="B53" s="5" t="str">
        <f>Data!B18</f>
        <v>Bulk edit</v>
      </c>
      <c r="C53" s="6">
        <f>Data!C18</f>
        <v>2</v>
      </c>
      <c r="D53" s="6">
        <f>Data!D18</f>
        <v>8</v>
      </c>
      <c r="E53" s="6">
        <f>Data!E18</f>
        <v>14</v>
      </c>
      <c r="F53" s="6">
        <f>Data!F18</f>
        <v>24</v>
      </c>
      <c r="G53" s="6">
        <f>Data!G18</f>
        <v>27</v>
      </c>
      <c r="H53" s="6">
        <f>Data!H18</f>
        <v>25</v>
      </c>
    </row>
    <row r="54" spans="2:8" x14ac:dyDescent="0.25">
      <c r="B54" s="5" t="str">
        <f>Data!B10</f>
        <v>Mobile app</v>
      </c>
      <c r="C54" s="6">
        <f>Data!C10</f>
        <v>1</v>
      </c>
      <c r="D54" s="6">
        <f>Data!D10</f>
        <v>2</v>
      </c>
      <c r="E54" s="6">
        <f>Data!E10</f>
        <v>1</v>
      </c>
      <c r="F54" s="6">
        <f>Data!F10</f>
        <v>13</v>
      </c>
      <c r="G54" s="6">
        <f>Data!G10</f>
        <v>36</v>
      </c>
      <c r="H54" s="6">
        <f>Data!H10</f>
        <v>47</v>
      </c>
    </row>
    <row r="55" spans="2:8" x14ac:dyDescent="0.25">
      <c r="B55" s="5" t="str">
        <f>Data!B9</f>
        <v>Search</v>
      </c>
      <c r="C55" s="6">
        <f>Data!C9</f>
        <v>0</v>
      </c>
      <c r="D55" s="6">
        <f>Data!D9</f>
        <v>1</v>
      </c>
      <c r="E55" s="6">
        <f>Data!E9</f>
        <v>1</v>
      </c>
      <c r="F55" s="6">
        <f>Data!F9</f>
        <v>11</v>
      </c>
      <c r="G55" s="6">
        <f>Data!G9</f>
        <v>40</v>
      </c>
      <c r="H55" s="6">
        <f>Data!H9</f>
        <v>47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C28"/>
  <sheetViews>
    <sheetView showGridLines="0" topLeftCell="C12" zoomScale="130" zoomScaleNormal="130" workbookViewId="0">
      <selection activeCell="U15" sqref="U15"/>
    </sheetView>
  </sheetViews>
  <sheetFormatPr defaultRowHeight="15" x14ac:dyDescent="0.25"/>
  <cols>
    <col min="26" max="29" width="13" customWidth="1"/>
  </cols>
  <sheetData>
    <row r="2" spans="2:29" ht="24" customHeight="1" x14ac:dyDescent="0.25">
      <c r="B2" s="1" t="s">
        <v>42</v>
      </c>
    </row>
    <row r="3" spans="2:29" x14ac:dyDescent="0.25">
      <c r="B3" s="2" t="s">
        <v>43</v>
      </c>
    </row>
    <row r="5" spans="2:29" x14ac:dyDescent="0.25">
      <c r="P5" s="8" t="s">
        <v>55</v>
      </c>
    </row>
    <row r="6" spans="2:29" x14ac:dyDescent="0.25">
      <c r="P6" s="9" t="s">
        <v>56</v>
      </c>
    </row>
    <row r="7" spans="2:29" x14ac:dyDescent="0.25">
      <c r="P7" s="10"/>
    </row>
    <row r="8" spans="2:29" x14ac:dyDescent="0.25">
      <c r="P8" s="11" t="s">
        <v>57</v>
      </c>
    </row>
    <row r="9" spans="2:29" x14ac:dyDescent="0.25">
      <c r="P9" s="12" t="s">
        <v>58</v>
      </c>
      <c r="Z9" s="24" t="s">
        <v>44</v>
      </c>
      <c r="AA9" s="25"/>
      <c r="AB9" s="25"/>
      <c r="AC9" s="25"/>
    </row>
    <row r="10" spans="2:29" x14ac:dyDescent="0.25">
      <c r="Z10" s="25"/>
      <c r="AA10" s="25"/>
      <c r="AB10" s="25"/>
      <c r="AC10" s="25"/>
    </row>
    <row r="11" spans="2:29" x14ac:dyDescent="0.25">
      <c r="Z11" s="25"/>
      <c r="AA11" s="25"/>
      <c r="AB11" s="25"/>
      <c r="AC11" s="25"/>
    </row>
    <row r="12" spans="2:29" x14ac:dyDescent="0.25">
      <c r="Z12" s="25"/>
      <c r="AA12" s="25"/>
      <c r="AB12" s="25"/>
      <c r="AC12" s="25"/>
    </row>
    <row r="13" spans="2:29" x14ac:dyDescent="0.25">
      <c r="Z13" s="25"/>
      <c r="AA13" s="25"/>
      <c r="AB13" s="25"/>
      <c r="AC13" s="25"/>
    </row>
    <row r="15" spans="2:29" x14ac:dyDescent="0.25">
      <c r="Z15" s="22" t="s">
        <v>45</v>
      </c>
      <c r="AA15" s="23"/>
      <c r="AB15" s="23"/>
      <c r="AC15" s="23"/>
    </row>
    <row r="16" spans="2:29" x14ac:dyDescent="0.25">
      <c r="Z16" s="23"/>
      <c r="AA16" s="23"/>
      <c r="AB16" s="23"/>
      <c r="AC16" s="23"/>
    </row>
    <row r="17" spans="2:29" x14ac:dyDescent="0.25">
      <c r="Z17" s="23"/>
      <c r="AA17" s="23"/>
      <c r="AB17" s="23"/>
      <c r="AC17" s="23"/>
    </row>
    <row r="18" spans="2:29" x14ac:dyDescent="0.25">
      <c r="Z18" s="23"/>
      <c r="AA18" s="23"/>
      <c r="AB18" s="23"/>
      <c r="AC18" s="23"/>
    </row>
    <row r="19" spans="2:29" x14ac:dyDescent="0.25">
      <c r="Z19" s="23"/>
      <c r="AA19" s="23"/>
      <c r="AB19" s="23"/>
      <c r="AC19" s="23"/>
    </row>
    <row r="21" spans="2:29" x14ac:dyDescent="0.25">
      <c r="Z21" s="20" t="s">
        <v>46</v>
      </c>
      <c r="AA21" s="21"/>
      <c r="AB21" s="21"/>
      <c r="AC21" s="21"/>
    </row>
    <row r="22" spans="2:29" x14ac:dyDescent="0.25">
      <c r="Z22" s="21"/>
      <c r="AA22" s="21"/>
      <c r="AB22" s="21"/>
      <c r="AC22" s="21"/>
    </row>
    <row r="23" spans="2:29" x14ac:dyDescent="0.25">
      <c r="Z23" s="21"/>
      <c r="AA23" s="21"/>
      <c r="AB23" s="21"/>
      <c r="AC23" s="21"/>
    </row>
    <row r="24" spans="2:29" x14ac:dyDescent="0.25">
      <c r="Z24" s="21"/>
      <c r="AA24" s="21"/>
      <c r="AB24" s="21"/>
      <c r="AC24" s="21"/>
    </row>
    <row r="25" spans="2:29" x14ac:dyDescent="0.25">
      <c r="Z25" s="21"/>
      <c r="AA25" s="21"/>
      <c r="AB25" s="21"/>
      <c r="AC25" s="21"/>
    </row>
    <row r="28" spans="2:29" x14ac:dyDescent="0.25">
      <c r="B28" s="7" t="s">
        <v>47</v>
      </c>
    </row>
  </sheetData>
  <mergeCells count="3">
    <mergeCell ref="Z21:AC25"/>
    <mergeCell ref="Z15:AC19"/>
    <mergeCell ref="Z9:AC1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54"/>
  <sheetViews>
    <sheetView showGridLines="0" workbookViewId="0"/>
  </sheetViews>
  <sheetFormatPr defaultRowHeight="15" x14ac:dyDescent="0.25"/>
  <sheetData>
    <row r="2" spans="2:2" ht="24" customHeight="1" x14ac:dyDescent="0.25">
      <c r="B2" s="1" t="s">
        <v>48</v>
      </c>
    </row>
    <row r="3" spans="2:2" x14ac:dyDescent="0.25">
      <c r="B3" s="2" t="s">
        <v>49</v>
      </c>
    </row>
    <row r="5" spans="2:2" x14ac:dyDescent="0.25">
      <c r="B5" s="3" t="s">
        <v>50</v>
      </c>
    </row>
    <row r="42" spans="2:4" x14ac:dyDescent="0.25">
      <c r="B42" s="3" t="s">
        <v>51</v>
      </c>
    </row>
    <row r="43" spans="2:4" x14ac:dyDescent="0.25">
      <c r="C43">
        <v>85</v>
      </c>
      <c r="D43">
        <v>0</v>
      </c>
    </row>
    <row r="44" spans="2:4" x14ac:dyDescent="0.25">
      <c r="C44">
        <v>85</v>
      </c>
      <c r="D44">
        <v>0.35</v>
      </c>
    </row>
    <row r="46" spans="2:4" x14ac:dyDescent="0.25">
      <c r="C46">
        <v>40</v>
      </c>
      <c r="D46">
        <v>0.1</v>
      </c>
    </row>
    <row r="47" spans="2:4" x14ac:dyDescent="0.25">
      <c r="C47">
        <v>108</v>
      </c>
      <c r="D47">
        <v>0.1</v>
      </c>
    </row>
    <row r="51" spans="3:4" x14ac:dyDescent="0.25">
      <c r="C51">
        <v>106</v>
      </c>
      <c r="D51">
        <v>0.33500000000000002</v>
      </c>
    </row>
    <row r="52" spans="3:4" x14ac:dyDescent="0.25">
      <c r="C52">
        <v>42</v>
      </c>
      <c r="D52">
        <v>0.33500000000000002</v>
      </c>
    </row>
    <row r="53" spans="3:4" x14ac:dyDescent="0.25">
      <c r="C53">
        <v>86.5</v>
      </c>
      <c r="D53">
        <v>0.01</v>
      </c>
    </row>
    <row r="54" spans="3:4" x14ac:dyDescent="0.25">
      <c r="C54">
        <v>42</v>
      </c>
      <c r="D54">
        <v>0.01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54"/>
  <sheetViews>
    <sheetView showGridLines="0" topLeftCell="A3" workbookViewId="0">
      <selection activeCell="W49" sqref="W49"/>
    </sheetView>
  </sheetViews>
  <sheetFormatPr defaultRowHeight="15" x14ac:dyDescent="0.25"/>
  <sheetData>
    <row r="2" spans="2:2" ht="24" customHeight="1" x14ac:dyDescent="0.25">
      <c r="B2" s="1" t="s">
        <v>52</v>
      </c>
    </row>
    <row r="3" spans="2:2" x14ac:dyDescent="0.25">
      <c r="B3" s="2" t="s">
        <v>53</v>
      </c>
    </row>
    <row r="5" spans="2:2" x14ac:dyDescent="0.25">
      <c r="B5" s="3" t="s">
        <v>54</v>
      </c>
    </row>
    <row r="42" spans="2:4" x14ac:dyDescent="0.25">
      <c r="B42" s="3" t="s">
        <v>51</v>
      </c>
    </row>
    <row r="43" spans="2:4" x14ac:dyDescent="0.25">
      <c r="C43">
        <v>85</v>
      </c>
      <c r="D43">
        <v>0.3</v>
      </c>
    </row>
    <row r="44" spans="2:4" x14ac:dyDescent="0.25">
      <c r="C44">
        <v>85</v>
      </c>
      <c r="D44">
        <v>0.95</v>
      </c>
    </row>
    <row r="46" spans="2:4" x14ac:dyDescent="0.25">
      <c r="C46">
        <v>40</v>
      </c>
      <c r="D46">
        <v>0.65</v>
      </c>
    </row>
    <row r="47" spans="2:4" x14ac:dyDescent="0.25">
      <c r="C47">
        <v>108</v>
      </c>
      <c r="D47">
        <v>0.65</v>
      </c>
    </row>
    <row r="51" spans="3:4" x14ac:dyDescent="0.25">
      <c r="C51">
        <v>106</v>
      </c>
      <c r="D51">
        <v>0.92500000000000004</v>
      </c>
    </row>
    <row r="52" spans="3:4" x14ac:dyDescent="0.25">
      <c r="C52">
        <v>42</v>
      </c>
      <c r="D52">
        <v>0.92500000000000004</v>
      </c>
    </row>
    <row r="53" spans="3:4" x14ac:dyDescent="0.25">
      <c r="C53">
        <v>106</v>
      </c>
      <c r="D53">
        <v>0.315</v>
      </c>
    </row>
    <row r="54" spans="3:4" x14ac:dyDescent="0.25">
      <c r="C54">
        <v>42</v>
      </c>
      <c r="D54">
        <v>0.315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1 All six</vt:lpstr>
      <vt:lpstr>2 Top two</vt:lpstr>
      <vt:lpstr>3 Dissatisfied</vt:lpstr>
      <vt:lpstr>4 Not used</vt:lpstr>
      <vt:lpstr>5 Annotated</vt:lpstr>
      <vt:lpstr>6 Action map</vt:lpstr>
      <vt:lpstr>7 Satisfaction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Phat Pham</cp:lastModifiedBy>
  <dcterms:created xsi:type="dcterms:W3CDTF">2026-09-14T18:14:47Z</dcterms:created>
  <dcterms:modified xsi:type="dcterms:W3CDTF">2026-09-21T07:53:09Z</dcterms:modified>
</cp:coreProperties>
</file>